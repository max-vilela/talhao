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âncias" sheetId="1" state="visible" r:id="rId1"/>
    <sheet xmlns:r="http://schemas.openxmlformats.org/officeDocument/2006/relationships" name="Premiss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000000"/>
      <sz val="9"/>
    </font>
    <font>
      <name val="Arial"/>
      <i val="1"/>
      <color rgb="00808080"/>
      <sz val="9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3" fontId="6" fillId="0" borderId="1" pivotButton="0" quotePrefix="0" xfId="0"/>
    <xf numFmtId="4" fontId="5" fillId="0" borderId="1" pivotButton="0" quotePrefix="0" xfId="0"/>
    <xf numFmtId="2" fontId="5" fillId="0" borderId="1" pivotButton="0" quotePrefix="0" xfId="0"/>
    <xf numFmtId="0" fontId="7" fillId="0" borderId="1" pivotButton="0" quotePrefix="0" xfId="0"/>
    <xf numFmtId="0" fontId="4" fillId="3" borderId="1" pivotButton="0" quotePrefix="0" xfId="0"/>
    <xf numFmtId="164" fontId="5" fillId="3" borderId="1" pivotButton="0" quotePrefix="0" xfId="0"/>
    <xf numFmtId="3" fontId="5" fillId="3" borderId="1" pivotButton="0" quotePrefix="0" xfId="0"/>
    <xf numFmtId="3" fontId="6" fillId="3" borderId="1" pivotButton="0" quotePrefix="0" xfId="0"/>
    <xf numFmtId="4" fontId="5" fillId="3" borderId="1" pivotButton="0" quotePrefix="0" xfId="0"/>
    <xf numFmtId="2" fontId="5" fillId="3" borderId="1" pivotButton="0" quotePrefix="0" xfId="0"/>
    <xf numFmtId="0" fontId="7" fillId="3" borderId="1" pivotButton="0" quotePrefix="0" xfId="0"/>
    <xf numFmtId="0" fontId="4" fillId="4" borderId="1" pivotButton="0" quotePrefix="0" xfId="0"/>
    <xf numFmtId="164" fontId="5" fillId="4" borderId="1" pivotButton="0" quotePrefix="0" xfId="0"/>
    <xf numFmtId="3" fontId="5" fillId="4" borderId="1" pivotButton="0" quotePrefix="0" xfId="0"/>
    <xf numFmtId="3" fontId="6" fillId="4" borderId="1" pivotButton="0" quotePrefix="0" xfId="0"/>
    <xf numFmtId="4" fontId="5" fillId="4" borderId="1" pivotButton="0" quotePrefix="0" xfId="0"/>
    <xf numFmtId="2" fontId="5" fillId="4" borderId="1" pivotButton="0" quotePrefix="0" xfId="0"/>
    <xf numFmtId="0" fontId="7" fillId="4" borderId="1" pivotButton="0" quotePrefix="0" xfId="0"/>
    <xf numFmtId="0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4" fontId="4" fillId="0" borderId="0" pivotButton="0" quotePrefix="0" xfId="0"/>
    <xf numFmtId="2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6" customWidth="1" min="4" max="4"/>
    <col width="16" customWidth="1" min="5" max="5"/>
    <col width="14" customWidth="1" min="6" max="6"/>
    <col width="12" customWidth="1" min="7" max="7"/>
    <col width="12" customWidth="1" min="8" max="8"/>
    <col width="17" customWidth="1" min="9" max="9"/>
    <col width="34" customWidth="1" min="10" max="10"/>
  </cols>
  <sheetData>
    <row r="1">
      <c r="A1" s="1" t="inlineStr">
        <is>
          <t>FAZENDA MATO GROSSO — distância dos talhões até a sede</t>
        </is>
      </c>
    </row>
    <row r="2">
      <c r="A2" s="2" t="inlineStr">
        <is>
          <t>Percurso pelas estradas/carreadores, até o ponto mais extremo do talhão.</t>
        </is>
      </c>
    </row>
    <row r="4" ht="30" customHeight="1">
      <c r="A4" s="3" t="inlineStr">
        <is>
          <t>Talhão</t>
        </is>
      </c>
      <c r="B4" s="3" t="inlineStr">
        <is>
          <t>Área (ha)</t>
        </is>
      </c>
      <c r="C4" s="3" t="inlineStr">
        <is>
          <t>Perímetro (m)</t>
        </is>
      </c>
      <c r="D4" s="3" t="inlineStr">
        <is>
          <t>Dist. máxima (m)</t>
        </is>
      </c>
      <c r="E4" s="3" t="inlineStr">
        <is>
          <t>Dist. mínima (m)</t>
        </is>
      </c>
      <c r="F4" s="3" t="inlineStr">
        <is>
          <t>Linha reta (m)</t>
        </is>
      </c>
      <c r="G4" s="3" t="inlineStr">
        <is>
          <t>Máxima (km)</t>
        </is>
      </c>
      <c r="H4" s="3" t="inlineStr">
        <is>
          <t>Mínima (km)</t>
        </is>
      </c>
      <c r="I4" s="3" t="inlineStr">
        <is>
          <t>Fator estrada/reta</t>
        </is>
      </c>
      <c r="J4" s="3" t="inlineStr">
        <is>
          <t>Observação</t>
        </is>
      </c>
    </row>
    <row r="5">
      <c r="A5" s="4" t="inlineStr">
        <is>
          <t>T-04</t>
        </is>
      </c>
      <c r="B5" s="5" t="n">
        <v>69.11</v>
      </c>
      <c r="C5" s="6" t="n">
        <v>3352</v>
      </c>
      <c r="D5" s="7" t="n">
        <v>7432</v>
      </c>
      <c r="E5" s="7" t="n">
        <v>5770</v>
      </c>
      <c r="F5" s="7" t="n">
        <v>4020</v>
      </c>
      <c r="G5" s="8">
        <f>D5/1000</f>
        <v/>
      </c>
      <c r="H5" s="8">
        <f>E5/1000</f>
        <v/>
      </c>
      <c r="I5" s="9">
        <f>IFERROR(D5/F5,"")</f>
        <v/>
      </c>
      <c r="J5" s="10" t="inlineStr"/>
    </row>
    <row r="6">
      <c r="A6" s="11" t="inlineStr">
        <is>
          <t>T-08</t>
        </is>
      </c>
      <c r="B6" s="12" t="n">
        <v>94.59</v>
      </c>
      <c r="C6" s="13" t="n">
        <v>3957</v>
      </c>
      <c r="D6" s="14" t="n">
        <v>6872</v>
      </c>
      <c r="E6" s="14" t="n">
        <v>4915</v>
      </c>
      <c r="F6" s="14" t="n">
        <v>3696</v>
      </c>
      <c r="G6" s="15">
        <f>D6/1000</f>
        <v/>
      </c>
      <c r="H6" s="15">
        <f>E6/1000</f>
        <v/>
      </c>
      <c r="I6" s="16">
        <f>IFERROR(D6/F6,"")</f>
        <v/>
      </c>
      <c r="J6" s="17" t="inlineStr"/>
    </row>
    <row r="7">
      <c r="A7" s="4" t="inlineStr">
        <is>
          <t>T-03</t>
        </is>
      </c>
      <c r="B7" s="5" t="n">
        <v>124.45</v>
      </c>
      <c r="C7" s="6" t="n">
        <v>4845</v>
      </c>
      <c r="D7" s="7" t="n">
        <v>6671</v>
      </c>
      <c r="E7" s="7" t="n">
        <v>4280</v>
      </c>
      <c r="F7" s="7" t="n">
        <v>2795</v>
      </c>
      <c r="G7" s="8">
        <f>D7/1000</f>
        <v/>
      </c>
      <c r="H7" s="8">
        <f>E7/1000</f>
        <v/>
      </c>
      <c r="I7" s="9">
        <f>IFERROR(D7/F7,"")</f>
        <v/>
      </c>
      <c r="J7" s="10" t="inlineStr"/>
    </row>
    <row r="8">
      <c r="A8" s="11" t="inlineStr">
        <is>
          <t>T-12</t>
        </is>
      </c>
      <c r="B8" s="12" t="n">
        <v>123.95</v>
      </c>
      <c r="C8" s="13" t="n">
        <v>5309</v>
      </c>
      <c r="D8" s="14" t="n">
        <v>6415</v>
      </c>
      <c r="E8" s="14" t="n">
        <v>3813</v>
      </c>
      <c r="F8" s="14" t="n">
        <v>3547</v>
      </c>
      <c r="G8" s="15">
        <f>D8/1000</f>
        <v/>
      </c>
      <c r="H8" s="15">
        <f>E8/1000</f>
        <v/>
      </c>
      <c r="I8" s="16">
        <f>IFERROR(D8/F8,"")</f>
        <v/>
      </c>
      <c r="J8" s="17" t="inlineStr"/>
    </row>
    <row r="9">
      <c r="A9" s="4" t="inlineStr">
        <is>
          <t>P-26</t>
        </is>
      </c>
      <c r="B9" s="5" t="n">
        <v>38.37</v>
      </c>
      <c r="C9" s="6" t="n">
        <v>2500</v>
      </c>
      <c r="D9" s="7" t="n">
        <v>6411</v>
      </c>
      <c r="E9" s="7" t="n">
        <v>5573</v>
      </c>
      <c r="F9" s="7" t="n">
        <v>4243</v>
      </c>
      <c r="G9" s="8">
        <f>D9/1000</f>
        <v/>
      </c>
      <c r="H9" s="8">
        <f>E9/1000</f>
        <v/>
      </c>
      <c r="I9" s="9">
        <f>IFERROR(D9/F9,"")</f>
        <v/>
      </c>
      <c r="J9" s="10" t="inlineStr"/>
    </row>
    <row r="10">
      <c r="A10" s="11" t="inlineStr">
        <is>
          <t>T-17</t>
        </is>
      </c>
      <c r="B10" s="12" t="n">
        <v>106.47</v>
      </c>
      <c r="C10" s="13" t="n">
        <v>4634</v>
      </c>
      <c r="D10" s="14" t="n">
        <v>6061</v>
      </c>
      <c r="E10" s="14" t="n">
        <v>4595</v>
      </c>
      <c r="F10" s="14" t="n">
        <v>4379</v>
      </c>
      <c r="G10" s="15">
        <f>D10/1000</f>
        <v/>
      </c>
      <c r="H10" s="15">
        <f>E10/1000</f>
        <v/>
      </c>
      <c r="I10" s="16">
        <f>IFERROR(D10/F10,"")</f>
        <v/>
      </c>
      <c r="J10" s="17" t="inlineStr"/>
    </row>
    <row r="11">
      <c r="A11" s="4" t="inlineStr">
        <is>
          <t>T-01</t>
        </is>
      </c>
      <c r="B11" s="5" t="n">
        <v>151.93</v>
      </c>
      <c r="C11" s="6" t="n">
        <v>5346</v>
      </c>
      <c r="D11" s="7" t="n">
        <v>5872</v>
      </c>
      <c r="E11" s="7" t="n">
        <v>3697</v>
      </c>
      <c r="F11" s="7" t="n">
        <v>2898</v>
      </c>
      <c r="G11" s="8">
        <f>D11/1000</f>
        <v/>
      </c>
      <c r="H11" s="8">
        <f>E11/1000</f>
        <v/>
      </c>
      <c r="I11" s="9">
        <f>IFERROR(D11/F11,"")</f>
        <v/>
      </c>
      <c r="J11" s="10" t="inlineStr"/>
    </row>
    <row r="12">
      <c r="A12" s="11" t="inlineStr">
        <is>
          <t>T-07</t>
        </is>
      </c>
      <c r="B12" s="12" t="n">
        <v>133.59</v>
      </c>
      <c r="C12" s="13" t="n">
        <v>4784</v>
      </c>
      <c r="D12" s="14" t="n">
        <v>5769</v>
      </c>
      <c r="E12" s="14" t="n">
        <v>3399</v>
      </c>
      <c r="F12" s="14" t="n">
        <v>2279</v>
      </c>
      <c r="G12" s="15">
        <f>D12/1000</f>
        <v/>
      </c>
      <c r="H12" s="15">
        <f>E12/1000</f>
        <v/>
      </c>
      <c r="I12" s="16">
        <f>IFERROR(D12/F12,"")</f>
        <v/>
      </c>
      <c r="J12" s="17" t="inlineStr"/>
    </row>
    <row r="13">
      <c r="A13" s="4" t="inlineStr">
        <is>
          <t>T-02</t>
        </is>
      </c>
      <c r="B13" s="5" t="n">
        <v>99.23</v>
      </c>
      <c r="C13" s="6" t="n">
        <v>4809</v>
      </c>
      <c r="D13" s="7" t="n">
        <v>5747</v>
      </c>
      <c r="E13" s="7" t="n">
        <v>3357</v>
      </c>
      <c r="F13" s="7" t="n">
        <v>2842</v>
      </c>
      <c r="G13" s="8">
        <f>D13/1000</f>
        <v/>
      </c>
      <c r="H13" s="8">
        <f>E13/1000</f>
        <v/>
      </c>
      <c r="I13" s="9">
        <f>IFERROR(D13/F13,"")</f>
        <v/>
      </c>
      <c r="J13" s="10" t="inlineStr"/>
    </row>
    <row r="14">
      <c r="A14" s="11" t="inlineStr">
        <is>
          <t>T-16</t>
        </is>
      </c>
      <c r="B14" s="12" t="n">
        <v>151.26</v>
      </c>
      <c r="C14" s="13" t="n">
        <v>5633</v>
      </c>
      <c r="D14" s="14" t="n">
        <v>5445</v>
      </c>
      <c r="E14" s="14" t="n">
        <v>3809</v>
      </c>
      <c r="F14" s="14" t="n">
        <v>3546</v>
      </c>
      <c r="G14" s="15">
        <f>D14/1000</f>
        <v/>
      </c>
      <c r="H14" s="15">
        <f>E14/1000</f>
        <v/>
      </c>
      <c r="I14" s="16">
        <f>IFERROR(D14/F14,"")</f>
        <v/>
      </c>
      <c r="J14" s="17" t="inlineStr"/>
    </row>
    <row r="15">
      <c r="A15" s="4" t="inlineStr">
        <is>
          <t>T-21</t>
        </is>
      </c>
      <c r="B15" s="5" t="n">
        <v>75.97</v>
      </c>
      <c r="C15" s="6" t="n">
        <v>3658</v>
      </c>
      <c r="D15" s="7" t="n">
        <v>4983</v>
      </c>
      <c r="E15" s="7" t="n">
        <v>3218</v>
      </c>
      <c r="F15" s="7" t="n">
        <v>2908</v>
      </c>
      <c r="G15" s="8">
        <f>D15/1000</f>
        <v/>
      </c>
      <c r="H15" s="8">
        <f>E15/1000</f>
        <v/>
      </c>
      <c r="I15" s="9">
        <f>IFERROR(D15/F15,"")</f>
        <v/>
      </c>
      <c r="J15" s="10" t="inlineStr"/>
    </row>
    <row r="16">
      <c r="A16" s="11" t="inlineStr">
        <is>
          <t>T-11A</t>
        </is>
      </c>
      <c r="B16" s="12" t="n">
        <v>77.29000000000001</v>
      </c>
      <c r="C16" s="13" t="n">
        <v>4270</v>
      </c>
      <c r="D16" s="14" t="n">
        <v>4939</v>
      </c>
      <c r="E16" s="14" t="n">
        <v>3235</v>
      </c>
      <c r="F16" s="14" t="n">
        <v>2214</v>
      </c>
      <c r="G16" s="15">
        <f>D16/1000</f>
        <v/>
      </c>
      <c r="H16" s="15">
        <f>E16/1000</f>
        <v/>
      </c>
      <c r="I16" s="16">
        <f>IFERROR(D16/F16,"")</f>
        <v/>
      </c>
      <c r="J16" s="17" t="inlineStr"/>
    </row>
    <row r="17">
      <c r="A17" s="4" t="inlineStr">
        <is>
          <t>T-15</t>
        </is>
      </c>
      <c r="B17" s="5" t="n">
        <v>200.37</v>
      </c>
      <c r="C17" s="6" t="n">
        <v>5776</v>
      </c>
      <c r="D17" s="7" t="n">
        <v>4768</v>
      </c>
      <c r="E17" s="7" t="n">
        <v>2205</v>
      </c>
      <c r="F17" s="7" t="n">
        <v>2045</v>
      </c>
      <c r="G17" s="8">
        <f>D17/1000</f>
        <v/>
      </c>
      <c r="H17" s="8">
        <f>E17/1000</f>
        <v/>
      </c>
      <c r="I17" s="9">
        <f>IFERROR(D17/F17,"")</f>
        <v/>
      </c>
      <c r="J17" s="10" t="inlineStr"/>
    </row>
    <row r="18">
      <c r="A18" s="11" t="inlineStr">
        <is>
          <t>T-06</t>
        </is>
      </c>
      <c r="B18" s="12" t="n">
        <v>180.3</v>
      </c>
      <c r="C18" s="13" t="n">
        <v>5857</v>
      </c>
      <c r="D18" s="14" t="n">
        <v>4538</v>
      </c>
      <c r="E18" s="14" t="n">
        <v>2003</v>
      </c>
      <c r="F18" s="14" t="n">
        <v>1530</v>
      </c>
      <c r="G18" s="15">
        <f>D18/1000</f>
        <v/>
      </c>
      <c r="H18" s="15">
        <f>E18/1000</f>
        <v/>
      </c>
      <c r="I18" s="16">
        <f>IFERROR(D18/F18,"")</f>
        <v/>
      </c>
      <c r="J18" s="17" t="inlineStr"/>
    </row>
    <row r="19">
      <c r="A19" s="4" t="inlineStr">
        <is>
          <t>T-11</t>
        </is>
      </c>
      <c r="B19" s="5" t="n">
        <v>98.26000000000001</v>
      </c>
      <c r="C19" s="6" t="n">
        <v>4388</v>
      </c>
      <c r="D19" s="7" t="n">
        <v>4481</v>
      </c>
      <c r="E19" s="7" t="n">
        <v>2291</v>
      </c>
      <c r="F19" s="7" t="n">
        <v>2039</v>
      </c>
      <c r="G19" s="8">
        <f>D19/1000</f>
        <v/>
      </c>
      <c r="H19" s="8">
        <f>E19/1000</f>
        <v/>
      </c>
      <c r="I19" s="9">
        <f>IFERROR(D19/F19,"")</f>
        <v/>
      </c>
      <c r="J19" s="10" t="inlineStr"/>
    </row>
    <row r="20">
      <c r="A20" s="11" t="inlineStr">
        <is>
          <t>T-05</t>
        </is>
      </c>
      <c r="B20" s="12" t="n">
        <v>130.25</v>
      </c>
      <c r="C20" s="13" t="n">
        <v>8274</v>
      </c>
      <c r="D20" s="14" t="n">
        <v>4386</v>
      </c>
      <c r="E20" s="14" t="n">
        <v>1988</v>
      </c>
      <c r="F20" s="14" t="n">
        <v>1498</v>
      </c>
      <c r="G20" s="15">
        <f>D20/1000</f>
        <v/>
      </c>
      <c r="H20" s="15">
        <f>E20/1000</f>
        <v/>
      </c>
      <c r="I20" s="16">
        <f>IFERROR(D20/F20,"")</f>
        <v/>
      </c>
      <c r="J20" s="17" t="inlineStr"/>
    </row>
    <row r="21">
      <c r="A21" s="4" t="inlineStr">
        <is>
          <t>T-21R</t>
        </is>
      </c>
      <c r="B21" s="5" t="n">
        <v>37.7</v>
      </c>
      <c r="C21" s="6" t="n">
        <v>2565</v>
      </c>
      <c r="D21" s="7" t="n">
        <v>4080</v>
      </c>
      <c r="E21" s="7" t="n">
        <v>3223</v>
      </c>
      <c r="F21" s="7" t="n">
        <v>2476</v>
      </c>
      <c r="G21" s="8">
        <f>D21/1000</f>
        <v/>
      </c>
      <c r="H21" s="8">
        <f>E21/1000</f>
        <v/>
      </c>
      <c r="I21" s="9">
        <f>IFERROR(D21/F21,"")</f>
        <v/>
      </c>
      <c r="J21" s="10" t="inlineStr"/>
    </row>
    <row r="22">
      <c r="A22" s="11" t="inlineStr">
        <is>
          <t>A-01</t>
        </is>
      </c>
      <c r="B22" s="12" t="n">
        <v>37.65</v>
      </c>
      <c r="C22" s="13" t="n">
        <v>2574</v>
      </c>
      <c r="D22" s="14" t="n">
        <v>3992</v>
      </c>
      <c r="E22" s="14" t="n">
        <v>2729</v>
      </c>
      <c r="F22" s="14" t="n">
        <v>2446</v>
      </c>
      <c r="G22" s="15">
        <f>D22/1000</f>
        <v/>
      </c>
      <c r="H22" s="15">
        <f>E22/1000</f>
        <v/>
      </c>
      <c r="I22" s="16">
        <f>IFERROR(D22/F22,"")</f>
        <v/>
      </c>
      <c r="J22" s="17" t="inlineStr"/>
    </row>
    <row r="23">
      <c r="A23" s="18" t="inlineStr">
        <is>
          <t>T-20</t>
        </is>
      </c>
      <c r="B23" s="19" t="n">
        <v>135.58</v>
      </c>
      <c r="C23" s="20" t="n">
        <v>4844</v>
      </c>
      <c r="D23" s="21" t="n">
        <v>3773</v>
      </c>
      <c r="E23" s="21" t="n">
        <v>1486</v>
      </c>
      <c r="F23" s="21" t="n">
        <v>1228</v>
      </c>
      <c r="G23" s="22">
        <f>D23/1000</f>
        <v/>
      </c>
      <c r="H23" s="22">
        <f>E23/1000</f>
        <v/>
      </c>
      <c r="I23" s="23">
        <f>IFERROR(D23/F23,"")</f>
        <v/>
      </c>
      <c r="J23" s="24" t="inlineStr"/>
    </row>
    <row r="24">
      <c r="A24" s="18" t="inlineStr">
        <is>
          <t>T-19</t>
        </is>
      </c>
      <c r="B24" s="19" t="n">
        <v>177.46</v>
      </c>
      <c r="C24" s="20" t="n">
        <v>5465</v>
      </c>
      <c r="D24" s="21" t="n">
        <v>3704</v>
      </c>
      <c r="E24" s="21" t="n">
        <v>1470</v>
      </c>
      <c r="F24" s="21" t="n">
        <v>969</v>
      </c>
      <c r="G24" s="22">
        <f>D24/1000</f>
        <v/>
      </c>
      <c r="H24" s="22">
        <f>E24/1000</f>
        <v/>
      </c>
      <c r="I24" s="23">
        <f>IFERROR(D24/F24,"")</f>
        <v/>
      </c>
      <c r="J24" s="24" t="inlineStr"/>
    </row>
    <row r="25">
      <c r="A25" s="4" t="inlineStr">
        <is>
          <t>T-10A</t>
        </is>
      </c>
      <c r="B25" s="5" t="n">
        <v>25.3</v>
      </c>
      <c r="C25" s="6" t="n">
        <v>3448</v>
      </c>
      <c r="D25" s="7" t="n">
        <v>3514</v>
      </c>
      <c r="E25" s="7" t="n">
        <v>2009</v>
      </c>
      <c r="F25" s="7" t="n">
        <v>1527</v>
      </c>
      <c r="G25" s="8">
        <f>D25/1000</f>
        <v/>
      </c>
      <c r="H25" s="8">
        <f>E25/1000</f>
        <v/>
      </c>
      <c r="I25" s="9">
        <f>IFERROR(D25/F25,"")</f>
        <v/>
      </c>
      <c r="J25" s="10" t="inlineStr"/>
    </row>
    <row r="26">
      <c r="A26" s="18" t="inlineStr">
        <is>
          <t>T-10</t>
        </is>
      </c>
      <c r="B26" s="19" t="n">
        <v>156.94</v>
      </c>
      <c r="C26" s="20" t="n">
        <v>5252</v>
      </c>
      <c r="D26" s="21" t="n">
        <v>3384</v>
      </c>
      <c r="E26" s="21" t="n">
        <v>761</v>
      </c>
      <c r="F26" s="21" t="n">
        <v>567</v>
      </c>
      <c r="G26" s="22">
        <f>D26/1000</f>
        <v/>
      </c>
      <c r="H26" s="22">
        <f>E26/1000</f>
        <v/>
      </c>
      <c r="I26" s="23">
        <f>IFERROR(D26/F26,"")</f>
        <v/>
      </c>
      <c r="J26" s="24" t="inlineStr"/>
    </row>
    <row r="27">
      <c r="A27" s="18" t="inlineStr">
        <is>
          <t>T-09</t>
        </is>
      </c>
      <c r="B27" s="19" t="n">
        <v>182.48</v>
      </c>
      <c r="C27" s="20" t="n">
        <v>5481</v>
      </c>
      <c r="D27" s="21" t="n">
        <v>2899</v>
      </c>
      <c r="E27" s="21" t="n">
        <v>291</v>
      </c>
      <c r="F27" s="21" t="n">
        <v>291</v>
      </c>
      <c r="G27" s="22">
        <f>D27/1000</f>
        <v/>
      </c>
      <c r="H27" s="22">
        <f>E27/1000</f>
        <v/>
      </c>
      <c r="I27" s="23">
        <f>IFERROR(D27/F27,"")</f>
        <v/>
      </c>
      <c r="J27" s="24" t="inlineStr"/>
    </row>
    <row r="28">
      <c r="A28" s="18" t="inlineStr">
        <is>
          <t>P-02</t>
        </is>
      </c>
      <c r="B28" s="19" t="n">
        <v>78.38</v>
      </c>
      <c r="C28" s="20" t="n">
        <v>4052</v>
      </c>
      <c r="D28" s="21" t="n">
        <v>2830</v>
      </c>
      <c r="E28" s="21" t="n">
        <v>925</v>
      </c>
      <c r="F28" s="21" t="n">
        <v>767</v>
      </c>
      <c r="G28" s="22">
        <f>D28/1000</f>
        <v/>
      </c>
      <c r="H28" s="22">
        <f>E28/1000</f>
        <v/>
      </c>
      <c r="I28" s="23">
        <f>IFERROR(D28/F28,"")</f>
        <v/>
      </c>
      <c r="J28" s="24" t="inlineStr"/>
    </row>
    <row r="29">
      <c r="A29" s="18" t="inlineStr">
        <is>
          <t>T-14</t>
        </is>
      </c>
      <c r="B29" s="19" t="n">
        <v>103.71</v>
      </c>
      <c r="C29" s="20" t="n">
        <v>4418</v>
      </c>
      <c r="D29" s="21" t="n">
        <v>2597</v>
      </c>
      <c r="E29" s="21" t="n">
        <v>563</v>
      </c>
      <c r="F29" s="21" t="n">
        <v>546</v>
      </c>
      <c r="G29" s="22">
        <f>D29/1000</f>
        <v/>
      </c>
      <c r="H29" s="22">
        <f>E29/1000</f>
        <v/>
      </c>
      <c r="I29" s="23">
        <f>IFERROR(D29/F29,"")</f>
        <v/>
      </c>
      <c r="J29" s="24" t="inlineStr"/>
    </row>
    <row r="30">
      <c r="A30" s="18" t="inlineStr">
        <is>
          <t>T-18</t>
        </is>
      </c>
      <c r="B30" s="19" t="n">
        <v>72.67</v>
      </c>
      <c r="C30" s="20" t="n">
        <v>4022</v>
      </c>
      <c r="D30" s="21" t="n">
        <v>2485</v>
      </c>
      <c r="E30" s="21" t="n">
        <v>959</v>
      </c>
      <c r="F30" s="21" t="n">
        <v>473</v>
      </c>
      <c r="G30" s="22">
        <f>D30/1000</f>
        <v/>
      </c>
      <c r="H30" s="22">
        <f>E30/1000</f>
        <v/>
      </c>
      <c r="I30" s="23">
        <f>IFERROR(D30/F30,"")</f>
        <v/>
      </c>
      <c r="J30" s="24" t="inlineStr"/>
    </row>
    <row r="31">
      <c r="A31" s="18" t="inlineStr">
        <is>
          <t>R-08</t>
        </is>
      </c>
      <c r="B31" s="19" t="n">
        <v>53.1</v>
      </c>
      <c r="C31" s="20" t="n">
        <v>3752</v>
      </c>
      <c r="D31" s="21" t="n">
        <v>2007</v>
      </c>
      <c r="E31" s="21" t="n">
        <v>353</v>
      </c>
      <c r="F31" s="21" t="n">
        <v>121</v>
      </c>
      <c r="G31" s="22">
        <f>D31/1000</f>
        <v/>
      </c>
      <c r="H31" s="22">
        <f>E31/1000</f>
        <v/>
      </c>
      <c r="I31" s="23">
        <f>IFERROR(D31/F31,"")</f>
        <v/>
      </c>
      <c r="J31" s="24" t="inlineStr"/>
    </row>
    <row r="32">
      <c r="A32" s="18" t="inlineStr">
        <is>
          <t>T-13</t>
        </is>
      </c>
      <c r="B32" s="19" t="n">
        <v>42.11</v>
      </c>
      <c r="C32" s="20" t="n">
        <v>4288</v>
      </c>
      <c r="D32" s="21" t="n">
        <v>1307</v>
      </c>
      <c r="E32" s="21" t="n">
        <v>142</v>
      </c>
      <c r="F32" s="21" t="n">
        <v>142</v>
      </c>
      <c r="G32" s="22">
        <f>D32/1000</f>
        <v/>
      </c>
      <c r="H32" s="22">
        <f>E32/1000</f>
        <v/>
      </c>
      <c r="I32" s="23">
        <f>IFERROR(D32/F32,"")</f>
        <v/>
      </c>
      <c r="J32" s="24" t="inlineStr"/>
    </row>
    <row r="34">
      <c r="A34" s="25" t="inlineStr">
        <is>
          <t>TOTAL / MÁXIMO</t>
        </is>
      </c>
      <c r="B34" s="26">
        <f>SUM(B5:B32)</f>
        <v/>
      </c>
      <c r="D34" s="27">
        <f>MAX(IFERROR(D5:D32*1,0))</f>
        <v/>
      </c>
      <c r="G34" s="28">
        <f>IFERROR(MAX(G5:G32),"")</f>
        <v/>
      </c>
      <c r="I34" s="29">
        <f>IFERROR(AVERAGE(I5:I32),"")</f>
        <v/>
      </c>
    </row>
    <row r="35">
      <c r="A35" s="30" t="inlineStr">
        <is>
          <t>Fundo amarelo = precisa de conferência: fator ≥ 3,0, ligação suposta, ou talhão sem estrada. Veja a coluna Observação.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31" t="inlineStr">
        <is>
          <t>Como estes números foram calculados</t>
        </is>
      </c>
    </row>
    <row r="3" ht="30" customHeight="1">
      <c r="A3" s="32" t="inlineStr">
        <is>
          <t>Origem</t>
        </is>
      </c>
      <c r="B3" s="33" t="inlineStr">
        <is>
          <t>Ponto de sede do projeto do Google Earth (-13.825901, -59.164748).</t>
        </is>
      </c>
    </row>
    <row r="4" ht="30" customHeight="1">
      <c r="A4" s="32" t="inlineStr">
        <is>
          <t>Talhões</t>
        </is>
      </c>
      <c r="B4" s="33" t="inlineStr">
        <is>
          <t>28 polígonos da pasta FAZENDA MATO GROSSO.</t>
        </is>
      </c>
    </row>
    <row r="5" ht="30" customHeight="1">
      <c r="A5" s="32" t="inlineStr">
        <is>
          <t>Malha de estradas</t>
        </is>
      </c>
      <c r="B5" s="33" t="inlineStr">
        <is>
          <t>Divisas dos talhões (os carreadores correm nas divisas), costuradas onde talhões vizinhos são separados pela faixa do carreador (até 45 m), mais as estradas de dados/estradas_extra.json.</t>
        </is>
      </c>
    </row>
    <row r="6" ht="30" customHeight="1">
      <c r="A6" s="32" t="inlineStr">
        <is>
          <t>Dist. máxima</t>
        </is>
      </c>
      <c r="B6" s="33" t="inlineStr">
        <is>
          <t>Menor caminho pela estrada, da sede até o ponto MAIS EXTREMO do perímetro do talhão. Não corta por dentro da lavoura.</t>
        </is>
      </c>
    </row>
    <row r="7" ht="30" customHeight="1">
      <c r="A7" s="32" t="inlineStr">
        <is>
          <t>Dist. mínima</t>
        </is>
      </c>
      <c r="B7" s="33" t="inlineStr">
        <is>
          <t>Menor caminho pela estrada, da sede até o ponto de acesso mais próximo.</t>
        </is>
      </c>
    </row>
    <row r="8" ht="30" customHeight="1">
      <c r="A8" s="32" t="inlineStr">
        <is>
          <t>Linha reta</t>
        </is>
      </c>
      <c r="B8" s="33" t="inlineStr">
        <is>
          <t>Distância em linha reta da sede até a borda do talhão. Só referência.</t>
        </is>
      </c>
    </row>
    <row r="9" ht="30" customHeight="1">
      <c r="A9" s="32" t="inlineStr">
        <is>
          <t>Fator</t>
        </is>
      </c>
      <c r="B9" s="33" t="inlineStr">
        <is>
          <t>Dist. máxima ÷ linha reta. Fator alto = rota indireta, ou estrada faltando na malha.</t>
        </is>
      </c>
    </row>
    <row r="10" ht="30" customHeight="1">
      <c r="A10" s="32" t="inlineStr">
        <is>
          <t>Coordenadas</t>
        </is>
      </c>
      <c r="B10" s="33" t="inlineStr">
        <is>
          <t>SIRGAS 2000 / UTM 21S (EPSG:31981) para distâncias e áreas.</t>
        </is>
      </c>
    </row>
    <row r="11" ht="30" customHeight="1">
      <c r="A11" s="32" t="inlineStr">
        <is>
          <t>Resolução</t>
        </is>
      </c>
      <c r="B11" s="33" t="inlineStr">
        <is>
          <t>Malha densificada a cada 25 m — é a precisão do 'ponto mais extremo'.</t>
        </is>
      </c>
    </row>
    <row r="12" ht="30" customHeight="1">
      <c r="A12" s="32" t="inlineStr">
        <is>
          <t>Validação</t>
        </is>
      </c>
      <c r="B12" s="33" t="inlineStr">
        <is>
          <t>A malha precisa ser conferida por quem roda a fazenda. Use o arquivo _bancada.html.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2026-09-15T15:44:29Z</dcterms:created>
  <dcterms:modified xmlns:dcterms="http://purl.org/dc/terms/" xmlns:xsi="http://www.w3.org/2001/XMLSchema-instance" xsi:type="dcterms:W3CDTF">2026-09-15T15:44:29Z</dcterms:modified>
</cp:coreProperties>
</file>