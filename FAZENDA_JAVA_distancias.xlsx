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E07D25B5-6C3C-483B-BE91-AFD614DD4466}" xr6:coauthVersionLast="47" xr6:coauthVersionMax="47" xr10:uidLastSave="{00000000-0000-0000-0000-000000000000}"/>
  <bookViews>
    <workbookView xWindow="768" yWindow="768" windowWidth="11280" windowHeight="783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l="1"/>
  <c r="I41" i="1"/>
</calcChain>
</file>

<file path=xl/sharedStrings.xml><?xml version="1.0" encoding="utf-8"?>
<sst xmlns="http://schemas.openxmlformats.org/spreadsheetml/2006/main" count="70" uniqueCount="70">
  <si>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</si>
  <si>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</si>
  <si>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</si>
  <si>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</si>
  <si>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</si>
  <si>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</si>
  <si>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</si>
  <si>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</si>
  <si>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</si>
  <si>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</si>
  <si>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</si>
  <si>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</si>
  <si>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</si>
  <si>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</si>
  <si>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</si>
  <si>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</si>
  <si>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</si>
  <si>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</si>
  <si>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</si>
  <si>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</si>
  <si>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</si>
  <si>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</si>
  <si>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</si>
  <si>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</si>
  <si>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</si>
  <si>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</si>
  <si>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</si>
  <si>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</si>
  <si>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</si>
  <si>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</si>
  <si>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</si>
  <si>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</si>
  <si>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</si>
  <si>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</si>
  <si>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</si>
  <si>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</si>
  <si>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T-01A</t>
  </si>
  <si>
    <t>T-09B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</si>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</sst>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23838</v>
      </c>
      <c r="E5" s="7">
        <v>22737</v>
      </c>
      <c r="F5" s="7">
        <v>11475</v>
      </c>
      <c r="G5" s="8">
        <f t="shared" ref="G5:G39" si="0">D5/1000</f>
        <v>23.838000000000001</v>
      </c>
      <c r="H5" s="8">
        <f t="shared" ref="H5:H39" si="1">E5/1000</f>
        <v>22.736999999999998</v>
      </c>
      <c r="I5" s="9">
        <f t="shared" ref="I5:I39" si="2">IFERROR(D5/F5,"")</f>
        <v>2.0773856209150328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23623</v>
      </c>
      <c r="E6" s="14">
        <v>22003</v>
      </c>
      <c r="F6" s="14">
        <v>11982</v>
      </c>
      <c r="G6" s="15">
        <f t="shared" si="0"/>
        <v>23.623000000000001</v>
      </c>
      <c r="H6" s="15">
        <f t="shared" si="1"/>
        <v>22.003</v>
      </c>
      <c r="I6" s="16">
        <f t="shared" si="2"/>
        <v>1.9715406442997829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22053</v>
      </c>
      <c r="E7" s="7">
        <v>21040</v>
      </c>
      <c r="F7" s="7">
        <v>11159</v>
      </c>
      <c r="G7" s="8">
        <f t="shared" si="0"/>
        <v>22.053000000000001</v>
      </c>
      <c r="H7" s="8">
        <f t="shared" si="1"/>
        <v>21.04</v>
      </c>
      <c r="I7" s="9">
        <f t="shared" si="2"/>
        <v>1.9762523523613227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21383</v>
      </c>
      <c r="E8" s="14">
        <v>20791</v>
      </c>
      <c r="F8" s="14">
        <v>11323</v>
      </c>
      <c r="G8" s="15">
        <f t="shared" si="0"/>
        <v>21.382999999999999</v>
      </c>
      <c r="H8" s="15">
        <f t="shared" si="1"/>
        <v>20.791</v>
      </c>
      <c r="I8" s="16">
        <f t="shared" si="2"/>
        <v>1.8884571226706703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21080</v>
      </c>
      <c r="E9" s="7">
        <v>19729</v>
      </c>
      <c r="F9" s="7">
        <v>10871</v>
      </c>
      <c r="G9" s="8">
        <f t="shared" si="0"/>
        <v>21.08</v>
      </c>
      <c r="H9" s="8">
        <f t="shared" si="1"/>
        <v>19.728999999999999</v>
      </c>
      <c r="I9" s="9">
        <f t="shared" si="2"/>
        <v>1.9391040382669487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21039</v>
      </c>
      <c r="E10" s="14">
        <v>19723</v>
      </c>
      <c r="F10" s="14">
        <v>11726</v>
      </c>
      <c r="G10" s="15">
        <f t="shared" si="0"/>
        <v>21.039000000000001</v>
      </c>
      <c r="H10" s="15">
        <f t="shared" si="1"/>
        <v>19.722999999999999</v>
      </c>
      <c r="I10" s="16">
        <f t="shared" si="2"/>
        <v>1.7942179771448064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20821</v>
      </c>
      <c r="E11" s="7">
        <v>18998</v>
      </c>
      <c r="F11" s="7">
        <v>10886</v>
      </c>
      <c r="G11" s="8">
        <f t="shared" si="0"/>
        <v>20.821000000000002</v>
      </c>
      <c r="H11" s="8">
        <f t="shared" si="1"/>
        <v>18.998000000000001</v>
      </c>
      <c r="I11" s="9">
        <f t="shared" si="2"/>
        <v>1.9126400881866619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19147</v>
      </c>
      <c r="F12" s="14">
        <v>11107</v>
      </c>
      <c r="G12" s="15">
        <f t="shared" si="0"/>
        <v>20.599</v>
      </c>
      <c r="H12" s="15">
        <f t="shared" si="1"/>
        <v>19.146999999999998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19773</v>
      </c>
      <c r="E13" s="7">
        <v>17939</v>
      </c>
      <c r="F13" s="7">
        <v>10009</v>
      </c>
      <c r="G13" s="8">
        <f t="shared" si="0"/>
        <v>19.773</v>
      </c>
      <c r="H13" s="8">
        <f t="shared" si="1"/>
        <v>17.939</v>
      </c>
      <c r="I13" s="9">
        <f t="shared" si="2"/>
        <v>1.9755220301728444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19230</v>
      </c>
      <c r="E14" s="14">
        <v>17330</v>
      </c>
      <c r="F14" s="14">
        <v>9384</v>
      </c>
      <c r="G14" s="15">
        <f t="shared" si="0"/>
        <v>19.23</v>
      </c>
      <c r="H14" s="15">
        <f t="shared" si="1"/>
        <v>17.329999999999998</v>
      </c>
      <c r="I14" s="16">
        <f t="shared" si="2"/>
        <v>2.0492327365728902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16882</v>
      </c>
      <c r="E15" s="7">
        <v>15960</v>
      </c>
      <c r="F15" s="7">
        <v>8307</v>
      </c>
      <c r="G15" s="8">
        <f t="shared" si="0"/>
        <v>16.882000000000001</v>
      </c>
      <c r="H15" s="8">
        <f t="shared" si="1"/>
        <v>15.96</v>
      </c>
      <c r="I15" s="9">
        <f t="shared" si="2"/>
        <v>2.0322619477549053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16882</v>
      </c>
      <c r="E16" s="14">
        <v>14420</v>
      </c>
      <c r="F16" s="14">
        <v>7221</v>
      </c>
      <c r="G16" s="15">
        <f t="shared" si="0"/>
        <v>16.882000000000001</v>
      </c>
      <c r="H16" s="15">
        <f t="shared" si="1"/>
        <v>14.42</v>
      </c>
      <c r="I16" s="16">
        <f t="shared" si="2"/>
        <v>2.3379033374878824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16877</v>
      </c>
      <c r="E17" s="7">
        <v>15985</v>
      </c>
      <c r="F17" s="7">
        <v>8248</v>
      </c>
      <c r="G17" s="8">
        <f t="shared" si="0"/>
        <v>16.876999999999999</v>
      </c>
      <c r="H17" s="8">
        <f t="shared" si="1"/>
        <v>15.984999999999999</v>
      </c>
      <c r="I17" s="9">
        <f t="shared" si="2"/>
        <v>2.046193016488846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16877</v>
      </c>
      <c r="E18" s="14">
        <v>15985</v>
      </c>
      <c r="F18" s="14">
        <v>8256</v>
      </c>
      <c r="G18" s="15">
        <f t="shared" si="0"/>
        <v>16.876999999999999</v>
      </c>
      <c r="H18" s="15">
        <f t="shared" si="1"/>
        <v>15.984999999999999</v>
      </c>
      <c r="I18" s="16">
        <f t="shared" si="2"/>
        <v>2.0442102713178296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16083</v>
      </c>
      <c r="E19" s="7">
        <v>15611</v>
      </c>
      <c r="F19" s="7">
        <v>9205</v>
      </c>
      <c r="G19" s="8">
        <f t="shared" si="0"/>
        <v>16.082999999999998</v>
      </c>
      <c r="H19" s="8">
        <f t="shared" si="1"/>
        <v>15.611000000000001</v>
      </c>
      <c r="I19" s="9">
        <f t="shared" si="2"/>
        <v>1.7472026072786528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16083</v>
      </c>
      <c r="E20" s="14">
        <v>15582</v>
      </c>
      <c r="F20" s="14">
        <v>8461</v>
      </c>
      <c r="G20" s="15">
        <f t="shared" si="0"/>
        <v>16.082999999999998</v>
      </c>
      <c r="H20" s="15">
        <f t="shared" si="1"/>
        <v>15.582000000000001</v>
      </c>
      <c r="I20" s="16">
        <f t="shared" si="2"/>
        <v>1.9008391443091832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15664</v>
      </c>
      <c r="E21" s="7">
        <v>14658</v>
      </c>
      <c r="F21" s="7">
        <v>9056</v>
      </c>
      <c r="G21" s="8">
        <f t="shared" si="0"/>
        <v>15.664</v>
      </c>
      <c r="H21" s="8">
        <f t="shared" si="1"/>
        <v>14.657999999999999</v>
      </c>
      <c r="I21" s="9">
        <f t="shared" si="2"/>
        <v>1.7296819787985867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15611</v>
      </c>
      <c r="E22" s="14">
        <v>13947</v>
      </c>
      <c r="F22" s="14">
        <v>8442</v>
      </c>
      <c r="G22" s="15">
        <f t="shared" si="0"/>
        <v>15.611000000000001</v>
      </c>
      <c r="H22" s="15">
        <f t="shared" si="1"/>
        <v>13.946999999999999</v>
      </c>
      <c r="I22" s="16">
        <f t="shared" si="2"/>
        <v>1.8492063492063493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14842</v>
      </c>
      <c r="E23" s="7">
        <v>13279</v>
      </c>
      <c r="F23" s="7">
        <v>8501</v>
      </c>
      <c r="G23" s="8">
        <f t="shared" si="0"/>
        <v>14.842000000000001</v>
      </c>
      <c r="H23" s="8">
        <f t="shared" si="1"/>
        <v>13.279</v>
      </c>
      <c r="I23" s="9">
        <f t="shared" si="2"/>
        <v>1.7459122456181626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14842</v>
      </c>
      <c r="E24" s="14">
        <v>14252</v>
      </c>
      <c r="F24" s="14">
        <v>9352</v>
      </c>
      <c r="G24" s="15">
        <f t="shared" si="0"/>
        <v>14.842000000000001</v>
      </c>
      <c r="H24" s="15">
        <f t="shared" si="1"/>
        <v>14.252000000000001</v>
      </c>
      <c r="I24" s="16">
        <f t="shared" si="2"/>
        <v>1.5870402053036783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14802</v>
      </c>
      <c r="E25" s="7">
        <v>13207</v>
      </c>
      <c r="F25" s="7">
        <v>7712</v>
      </c>
      <c r="G25" s="8">
        <f t="shared" si="0"/>
        <v>14.802</v>
      </c>
      <c r="H25" s="8">
        <f t="shared" si="1"/>
        <v>13.207000000000001</v>
      </c>
      <c r="I25" s="9">
        <f t="shared" si="2"/>
        <v>1.9193464730290457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14802</v>
      </c>
      <c r="E26" s="14">
        <v>13207</v>
      </c>
      <c r="F26" s="14">
        <v>7712</v>
      </c>
      <c r="G26" s="15">
        <f t="shared" si="0"/>
        <v>14.802</v>
      </c>
      <c r="H26" s="15">
        <f t="shared" si="1"/>
        <v>13.207000000000001</v>
      </c>
      <c r="I26" s="16">
        <f t="shared" si="2"/>
        <v>1.9193464730290457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14802</v>
      </c>
      <c r="E27" s="7">
        <v>11307</v>
      </c>
      <c r="F27" s="7">
        <v>6957</v>
      </c>
      <c r="G27" s="8">
        <f t="shared" si="0"/>
        <v>14.802</v>
      </c>
      <c r="H27" s="8">
        <f t="shared" si="1"/>
        <v>11.307</v>
      </c>
      <c r="I27" s="9">
        <f t="shared" si="2"/>
        <v>2.1276412246658043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14746</v>
      </c>
      <c r="E28" s="14">
        <v>14348</v>
      </c>
      <c r="F28" s="14">
        <v>8842</v>
      </c>
      <c r="G28" s="15">
        <f t="shared" si="0"/>
        <v>14.746</v>
      </c>
      <c r="H28" s="15">
        <f t="shared" si="1"/>
        <v>14.348000000000001</v>
      </c>
      <c r="I28" s="16">
        <f t="shared" si="2"/>
        <v>1.6677222347885094</v>
      </c>
      <c r="J28" s="17"/>
    </row>
    <row r="29" spans="1:10" x14ac:dyDescent="0.3">
      <c r="A29" s="4" t="s">
        <v>36</v>
      </c>
      <c r="B29" s="5">
        <v>109.74</v>
      </c>
      <c r="C29" s="6">
        <v>5134</v>
      </c>
      <c r="D29" s="7">
        <v>14708</v>
      </c>
      <c r="E29" s="7">
        <v>13783</v>
      </c>
      <c r="F29" s="7">
        <v>10367</v>
      </c>
      <c r="G29" s="8">
        <f t="shared" si="0"/>
        <v>14.708</v>
      </c>
      <c r="H29" s="8">
        <f t="shared" si="1"/>
        <v>13.782999999999999</v>
      </c>
      <c r="I29" s="9">
        <f t="shared" si="2"/>
        <v>1.4187325166393363</v>
      </c>
      <c r="J29" s="10"/>
    </row>
    <row r="30" spans="1:10" x14ac:dyDescent="0.3">
      <c r="A30" s="11" t="s">
        <v>37</v>
      </c>
      <c r="B30" s="12">
        <v>51.45</v>
      </c>
      <c r="C30" s="13">
        <v>3530</v>
      </c>
      <c r="D30" s="14">
        <v>14708</v>
      </c>
      <c r="E30" s="14">
        <v>14708</v>
      </c>
      <c r="F30" s="14">
        <v>9210</v>
      </c>
      <c r="G30" s="15">
        <f t="shared" si="0"/>
        <v>14.708</v>
      </c>
      <c r="H30" s="15">
        <f t="shared" si="1"/>
        <v>14.708</v>
      </c>
      <c r="I30" s="16">
        <f t="shared" si="2"/>
        <v>1.5969598262757871</v>
      </c>
      <c r="J30" s="17"/>
    </row>
    <row r="31" spans="1:10" x14ac:dyDescent="0.3">
      <c r="A31" s="4" t="s">
        <v>38</v>
      </c>
      <c r="B31" s="5">
        <v>108.06</v>
      </c>
      <c r="C31" s="6">
        <v>5283</v>
      </c>
      <c r="D31" s="7">
        <v>14601</v>
      </c>
      <c r="E31" s="7">
        <v>13332</v>
      </c>
      <c r="F31" s="7">
        <v>9732</v>
      </c>
      <c r="G31" s="8">
        <f t="shared" si="0"/>
        <v>14.601000000000001</v>
      </c>
      <c r="H31" s="8">
        <f t="shared" si="1"/>
        <v>13.332000000000001</v>
      </c>
      <c r="I31" s="9">
        <f t="shared" si="2"/>
        <v>1.500308261405672</v>
      </c>
      <c r="J31" s="10"/>
    </row>
    <row r="32" spans="1:10" x14ac:dyDescent="0.3">
      <c r="A32" s="11" t="s">
        <v>39</v>
      </c>
      <c r="B32" s="12">
        <v>113.04</v>
      </c>
      <c r="C32" s="13">
        <v>5041</v>
      </c>
      <c r="D32" s="14">
        <v>14601</v>
      </c>
      <c r="E32" s="14">
        <v>12353</v>
      </c>
      <c r="F32" s="14">
        <v>8850</v>
      </c>
      <c r="G32" s="15">
        <f t="shared" si="0"/>
        <v>14.601000000000001</v>
      </c>
      <c r="H32" s="15">
        <f t="shared" si="1"/>
        <v>12.353</v>
      </c>
      <c r="I32" s="16">
        <f t="shared" si="2"/>
        <v>1.6498305084745764</v>
      </c>
      <c r="J32" s="17"/>
    </row>
    <row r="33" spans="1:10" x14ac:dyDescent="0.3">
      <c r="A33" s="4" t="s">
        <v>40</v>
      </c>
      <c r="B33" s="5">
        <v>110.23</v>
      </c>
      <c r="C33" s="6">
        <v>5065</v>
      </c>
      <c r="D33" s="7">
        <v>14572</v>
      </c>
      <c r="E33" s="7">
        <v>12412</v>
      </c>
      <c r="F33" s="7">
        <v>9477</v>
      </c>
      <c r="G33" s="8">
        <f t="shared" si="0"/>
        <v>14.571999999999999</v>
      </c>
      <c r="H33" s="8">
        <f t="shared" si="1"/>
        <v>12.412000000000001</v>
      </c>
      <c r="I33" s="9">
        <f t="shared" si="2"/>
        <v>1.5376173894692413</v>
      </c>
      <c r="J33" s="10"/>
    </row>
    <row r="34" spans="1:10" x14ac:dyDescent="0.3">
      <c r="A34" s="11" t="s">
        <v>41</v>
      </c>
      <c r="B34" s="12">
        <v>31.74</v>
      </c>
      <c r="C34" s="13">
        <v>2739</v>
      </c>
      <c r="D34" s="14">
        <v>14473</v>
      </c>
      <c r="E34" s="14">
        <v>13933</v>
      </c>
      <c r="F34" s="14">
        <v>7775</v>
      </c>
      <c r="G34" s="15">
        <f t="shared" si="0"/>
        <v>14.473000000000001</v>
      </c>
      <c r="H34" s="15">
        <f t="shared" si="1"/>
        <v>13.933</v>
      </c>
      <c r="I34" s="16">
        <f t="shared" si="2"/>
        <v>1.8614790996784565</v>
      </c>
      <c r="J34" s="17"/>
    </row>
    <row r="35" spans="1:10" x14ac:dyDescent="0.3">
      <c r="A35" s="4" t="s">
        <v>42</v>
      </c>
      <c r="B35" s="5">
        <v>14.18</v>
      </c>
      <c r="C35" s="6">
        <v>1756</v>
      </c>
      <c r="D35" s="7">
        <v>14134</v>
      </c>
      <c r="E35" s="7">
        <v>13399</v>
      </c>
      <c r="F35" s="7">
        <v>7912</v>
      </c>
      <c r="G35" s="8">
        <f t="shared" si="0"/>
        <v>14.134</v>
      </c>
      <c r="H35" s="8">
        <f t="shared" si="1"/>
        <v>13.398999999999999</v>
      </c>
      <c r="I35" s="9">
        <f t="shared" si="2"/>
        <v>1.7864004044489383</v>
      </c>
      <c r="J35" s="10"/>
    </row>
    <row r="36" spans="1:10" x14ac:dyDescent="0.3">
      <c r="A36" s="11" t="s">
        <v>43</v>
      </c>
      <c r="B36" s="12">
        <v>100.42</v>
      </c>
      <c r="C36" s="13">
        <v>5093</v>
      </c>
      <c r="D36" s="14">
        <v>13655</v>
      </c>
      <c r="E36" s="14">
        <v>12362</v>
      </c>
      <c r="F36" s="14">
        <v>7977</v>
      </c>
      <c r="G36" s="15">
        <f t="shared" si="0"/>
        <v>13.654999999999999</v>
      </c>
      <c r="H36" s="15">
        <f t="shared" si="1"/>
        <v>12.362</v>
      </c>
      <c r="I36" s="16">
        <f t="shared" si="2"/>
        <v>1.7117964146922402</v>
      </c>
      <c r="J36" s="17"/>
    </row>
    <row r="37" spans="1:10" x14ac:dyDescent="0.3">
      <c r="A37" s="4" t="s">
        <v>44</v>
      </c>
      <c r="B37" s="5">
        <v>51.93</v>
      </c>
      <c r="C37" s="6">
        <v>3411</v>
      </c>
      <c r="D37" s="7">
        <v>13655</v>
      </c>
      <c r="E37" s="7">
        <v>12333</v>
      </c>
      <c r="F37" s="7">
        <v>7991</v>
      </c>
      <c r="G37" s="8">
        <f t="shared" si="0"/>
        <v>13.654999999999999</v>
      </c>
      <c r="H37" s="8">
        <f t="shared" si="1"/>
        <v>12.333</v>
      </c>
      <c r="I37" s="9">
        <f t="shared" si="2"/>
        <v>1.7087973970717056</v>
      </c>
      <c r="J37" s="10"/>
    </row>
    <row r="38" spans="1:10" x14ac:dyDescent="0.3">
      <c r="A38" s="11" t="s">
        <v>45</v>
      </c>
      <c r="B38" s="12">
        <v>210.74</v>
      </c>
      <c r="C38" s="13">
        <v>9468</v>
      </c>
      <c r="D38" s="14">
        <v>12696</v>
      </c>
      <c r="E38" s="14">
        <v>10412</v>
      </c>
      <c r="F38" s="14">
        <v>7561</v>
      </c>
      <c r="G38" s="15">
        <f t="shared" si="0"/>
        <v>12.696</v>
      </c>
      <c r="H38" s="15">
        <f t="shared" si="1"/>
        <v>10.412000000000001</v>
      </c>
      <c r="I38" s="16">
        <f t="shared" si="2"/>
        <v>1.6791429705065468</v>
      </c>
      <c r="J38" s="17"/>
    </row>
    <row r="39" spans="1:10" x14ac:dyDescent="0.3">
      <c r="A39" s="4" t="s">
        <v>46</v>
      </c>
      <c r="B39" s="5">
        <v>107.45</v>
      </c>
      <c r="C39" s="6">
        <v>5565</v>
      </c>
      <c r="D39" s="7">
        <v>11425</v>
      </c>
      <c r="E39" s="7">
        <v>10040</v>
      </c>
      <c r="F39" s="7">
        <v>7077</v>
      </c>
      <c r="G39" s="8">
        <f t="shared" si="0"/>
        <v>11.425000000000001</v>
      </c>
      <c r="H39" s="8">
        <f t="shared" si="1"/>
        <v>10.039999999999999</v>
      </c>
      <c r="I39" s="9">
        <f t="shared" si="2"/>
        <v>1.6143846262540624</v>
      </c>
      <c r="J39" s="10"/>
    </row>
    <row r="41" spans="1:10" x14ac:dyDescent="0.3">
      <c r="A41" s="18" t="s">
        <v>47</v>
      </c>
      <c r="B41" s="19">
        <f>SUM(B5:B39)</f>
        <v>3213.1599999999989</v>
      </c>
      <c r="D41" s="20">
        <f>MAX(D5:D39)</f>
        <v>23838</v>
      </c>
      <c r="G41" s="21">
        <f>IFERROR(MAX(G5:G39),"")</f>
        <v>23.838000000000001</v>
      </c>
      <c r="I41" s="22">
        <f>IFERROR(AVERAGE(I5:I39),"")</f>
        <v>1.8331115924336632</v>
      </c>
    </row>
    <row r="42" spans="1:10" x14ac:dyDescent="0.3">
      <c r="A42" s="2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49</v>
      </c>
    </row>
    <row r="3" spans="1:2" ht="30" customHeight="1" x14ac:dyDescent="0.3">
      <c r="A3" s="25" t="s">
        <v>50</v>
      </c>
      <c r="B3" s="26" t="s">
        <v>51</v>
      </c>
    </row>
    <row r="4" spans="1:2" ht="30" customHeight="1" x14ac:dyDescent="0.3">
      <c r="A4" s="25" t="s">
        <v>52</v>
      </c>
      <c r="B4" s="26" t="s">
        <v>53</v>
      </c>
    </row>
    <row r="5" spans="1:2" ht="30" customHeight="1" x14ac:dyDescent="0.3">
      <c r="A5" s="25" t="s">
        <v>54</v>
      </c>
      <c r="B5" s="26" t="s">
        <v>55</v>
      </c>
    </row>
    <row r="6" spans="1:2" ht="30" customHeight="1" x14ac:dyDescent="0.3">
      <c r="A6" s="25" t="s">
        <v>56</v>
      </c>
      <c r="B6" s="26" t="s">
        <v>57</v>
      </c>
    </row>
    <row r="7" spans="1:2" ht="30" customHeight="1" x14ac:dyDescent="0.3">
      <c r="A7" s="25" t="s">
        <v>58</v>
      </c>
      <c r="B7" s="26" t="s">
        <v>59</v>
      </c>
    </row>
    <row r="8" spans="1:2" ht="30" customHeight="1" x14ac:dyDescent="0.3">
      <c r="A8" s="25" t="s">
        <v>60</v>
      </c>
      <c r="B8" s="26" t="s">
        <v>61</v>
      </c>
    </row>
    <row r="9" spans="1:2" ht="30" customHeight="1" x14ac:dyDescent="0.3">
      <c r="A9" s="25" t="s">
        <v>62</v>
      </c>
      <c r="B9" s="26" t="s">
        <v>63</v>
      </c>
    </row>
    <row r="10" spans="1:2" ht="30" customHeight="1" x14ac:dyDescent="0.3">
      <c r="A10" s="25" t="s">
        <v>64</v>
      </c>
      <c r="B10" s="26" t="s">
        <v>65</v>
      </c>
    </row>
    <row r="11" spans="1:2" ht="30" customHeight="1" x14ac:dyDescent="0.3">
      <c r="A11" s="25" t="s">
        <v>66</v>
      </c>
      <c r="B11" s="26" t="s">
        <v>67</v>
      </c>
    </row>
    <row r="12" spans="1:2" ht="30" customHeight="1" x14ac:dyDescent="0.3">
      <c r="A12" s="25" t="s">
        <v>68</v>
      </c>
      <c r="B12" s="26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2026-09-23T18:15:23Z</dcterms:created>
  <dcterms:modified xsi:type="dcterms:W3CDTF">2026-09-23T18:15:44Z</dcterms:modified>
</cp:coreProperties>
</file>