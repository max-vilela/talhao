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laragon\www\talhao\"/>
    </mc:Choice>
  </mc:AlternateContent>
  <xr:revisionPtr revIDLastSave="0" documentId="13_ncr:1_{3380EDA1-B342-44C5-8A03-764A2CFA1DD4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Distâncias" sheetId="1" r:id="rId1"/>
    <sheet name="Premissa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1" i="1" l="1"/>
  <c r="B41" i="1"/>
  <c r="I38" i="1"/>
  <c r="H38" i="1"/>
  <c r="G38" i="1"/>
  <c r="I37" i="1"/>
  <c r="H37" i="1"/>
  <c r="G37" i="1"/>
  <c r="I36" i="1"/>
  <c r="H36" i="1"/>
  <c r="G36" i="1"/>
  <c r="I35" i="1"/>
  <c r="H35" i="1"/>
  <c r="G35" i="1"/>
  <c r="I34" i="1"/>
  <c r="H34" i="1"/>
  <c r="G34" i="1"/>
  <c r="I33" i="1"/>
  <c r="H33" i="1"/>
  <c r="G33" i="1"/>
  <c r="I32" i="1"/>
  <c r="H32" i="1"/>
  <c r="G32" i="1"/>
  <c r="I31" i="1"/>
  <c r="H31" i="1"/>
  <c r="G31" i="1"/>
  <c r="I30" i="1"/>
  <c r="H30" i="1"/>
  <c r="G30" i="1"/>
  <c r="I29" i="1"/>
  <c r="H29" i="1"/>
  <c r="G29" i="1"/>
  <c r="I28" i="1"/>
  <c r="H28" i="1"/>
  <c r="G28" i="1"/>
  <c r="I27" i="1"/>
  <c r="H27" i="1"/>
  <c r="G27" i="1"/>
  <c r="I26" i="1"/>
  <c r="H26" i="1"/>
  <c r="G26" i="1"/>
  <c r="I25" i="1"/>
  <c r="H25" i="1"/>
  <c r="G25" i="1"/>
  <c r="I24" i="1"/>
  <c r="H24" i="1"/>
  <c r="G24" i="1"/>
  <c r="I23" i="1"/>
  <c r="H23" i="1"/>
  <c r="G23" i="1"/>
  <c r="I22" i="1"/>
  <c r="H22" i="1"/>
  <c r="G22" i="1"/>
  <c r="I21" i="1"/>
  <c r="H21" i="1"/>
  <c r="G21" i="1"/>
  <c r="I20" i="1"/>
  <c r="H20" i="1"/>
  <c r="G20" i="1"/>
  <c r="I19" i="1"/>
  <c r="H19" i="1"/>
  <c r="G19" i="1"/>
  <c r="I18" i="1"/>
  <c r="H18" i="1"/>
  <c r="G18" i="1"/>
  <c r="I17" i="1"/>
  <c r="H17" i="1"/>
  <c r="G17" i="1"/>
  <c r="I16" i="1"/>
  <c r="H16" i="1"/>
  <c r="G16" i="1"/>
  <c r="I15" i="1"/>
  <c r="H15" i="1"/>
  <c r="G15" i="1"/>
  <c r="I14" i="1"/>
  <c r="H14" i="1"/>
  <c r="G14" i="1"/>
  <c r="I13" i="1"/>
  <c r="H13" i="1"/>
  <c r="G13" i="1"/>
  <c r="I12" i="1"/>
  <c r="H12" i="1"/>
  <c r="G12" i="1"/>
  <c r="I11" i="1"/>
  <c r="H11" i="1"/>
  <c r="G11" i="1"/>
  <c r="I10" i="1"/>
  <c r="H10" i="1"/>
  <c r="G10" i="1"/>
  <c r="I9" i="1"/>
  <c r="H9" i="1"/>
  <c r="G9" i="1"/>
  <c r="I8" i="1"/>
  <c r="H8" i="1"/>
  <c r="G8" i="1"/>
  <c r="I7" i="1"/>
  <c r="H7" i="1"/>
  <c r="G7" i="1"/>
  <c r="I6" i="1"/>
  <c r="H6" i="1"/>
  <c r="G6" i="1"/>
  <c r="I5" i="1"/>
  <c r="H5" i="1"/>
  <c r="G5" i="1"/>
  <c r="G41" i="1" s="1"/>
  <c r="I41" i="1" l="1"/>
</calcChain>
</file>

<file path=xl/sharedStrings.xml><?xml version="1.0" encoding="utf-8"?>
<sst xmlns="http://schemas.openxmlformats.org/spreadsheetml/2006/main" count="76" uniqueCount="73">
  <si>
    <t>FAZENDA JAVA — distância dos talhões até a sede</t>
  </si>
  <si>
    <t>Percurso pelas estradas/carreadores, até o ponto mais extremo do talhão.</t>
  </si>
  <si>
    <t>Talhão</t>
  </si>
  <si>
    <t>Área (ha)</t>
  </si>
  <si>
    <t>Perímetro (m)</t>
  </si>
  <si>
    <t>Dist. máxima (m)</t>
  </si>
  <si>
    <t>Dist. mínima (m)</t>
  </si>
  <si>
    <t>Linha reta (m)</t>
  </si>
  <si>
    <t>Máxima (km)</t>
  </si>
  <si>
    <t>Mínima (km)</t>
  </si>
  <si>
    <t>Fator estrada/reta</t>
  </si>
  <si>
    <t>Observação</t>
  </si>
  <si>
    <t>T-11A</t>
  </si>
  <si>
    <t>T-13C</t>
  </si>
  <si>
    <t>T-13B</t>
  </si>
  <si>
    <t>T-11B</t>
  </si>
  <si>
    <t>T-13D</t>
  </si>
  <si>
    <t>T-11D</t>
  </si>
  <si>
    <t>T-11C</t>
  </si>
  <si>
    <t>T-13A</t>
  </si>
  <si>
    <t>T-10A</t>
  </si>
  <si>
    <t>T-12A</t>
  </si>
  <si>
    <t>T-15B</t>
  </si>
  <si>
    <t>T-15C</t>
  </si>
  <si>
    <t>T-14A</t>
  </si>
  <si>
    <t>T-14D</t>
  </si>
  <si>
    <t>T-07C</t>
  </si>
  <si>
    <t>T-07D</t>
  </si>
  <si>
    <t>T-07B</t>
  </si>
  <si>
    <t>T-07A</t>
  </si>
  <si>
    <t>T-01C</t>
  </si>
  <si>
    <t>T-05</t>
  </si>
  <si>
    <t>T-06B</t>
  </si>
  <si>
    <t>T-06D</t>
  </si>
  <si>
    <t>T-06E</t>
  </si>
  <si>
    <t>T-09A</t>
  </si>
  <si>
    <t>T-06C</t>
  </si>
  <si>
    <t>T-03B</t>
  </si>
  <si>
    <t>T-03A</t>
  </si>
  <si>
    <t>T-08A</t>
  </si>
  <si>
    <t>T-01</t>
  </si>
  <si>
    <t>T-04A</t>
  </si>
  <si>
    <t>T-04B</t>
  </si>
  <si>
    <t>T-01A</t>
  </si>
  <si>
    <t>T-04</t>
  </si>
  <si>
    <t>T-02</t>
  </si>
  <si>
    <t>T-09B</t>
  </si>
  <si>
    <t>sem acesso</t>
  </si>
  <si>
    <t>—</t>
  </si>
  <si>
    <t>sem estrada até este talhão</t>
  </si>
  <si>
    <t>TOTAL / MÁXIMO</t>
  </si>
  <si>
    <t>Fundo amarelo = precisa de conferência: fator ≥ 3,0, ligação suposta, ou talhão sem estrada. Veja a coluna Observação.</t>
  </si>
  <si>
    <t>Como estes números foram calculados</t>
  </si>
  <si>
    <t>Origem</t>
  </si>
  <si>
    <t>Ponto de sede do projeto do Google Earth (-13.586393, -57.555499).</t>
  </si>
  <si>
    <t>Talhões</t>
  </si>
  <si>
    <t>35 polígonos da pasta FAZENDA JAVA.</t>
  </si>
  <si>
    <t>Malha de estradas</t>
  </si>
  <si>
    <t>Divisas dos talhões (os carreadores correm nas divisas), costuradas onde talhões vizinhos são separados pela faixa do carreador (até 45 m), mais as estradas de dados/estradas_extra.json.</t>
  </si>
  <si>
    <t>Dist. máxima</t>
  </si>
  <si>
    <t>Menor caminho pela estrada, da sede até o ponto MAIS EXTREMO do perímetro do talhão. Não corta por dentro da lavoura.</t>
  </si>
  <si>
    <t>Dist. mínima</t>
  </si>
  <si>
    <t>Menor caminho pela estrada, da sede até o ponto de acesso mais próximo.</t>
  </si>
  <si>
    <t>Linha reta</t>
  </si>
  <si>
    <t>Distância em linha reta da sede até a borda do talhão. Só referência.</t>
  </si>
  <si>
    <t>Fator</t>
  </si>
  <si>
    <t>Dist. máxima ÷ linha reta. Fator alto = rota indireta, ou estrada faltando na malha.</t>
  </si>
  <si>
    <t>Coordenadas</t>
  </si>
  <si>
    <t>SIRGAS 2000 / UTM 21S (EPSG:31981) para distâncias e áreas.</t>
  </si>
  <si>
    <t>Resolução</t>
  </si>
  <si>
    <t>Malha densificada a cada 25 m — é a precisão do 'ponto mais extremo'.</t>
  </si>
  <si>
    <t>Validação</t>
  </si>
  <si>
    <t>A malha precisa ser conferida por quem roda a fazenda. Use o arquivo _bancada.html.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</si>
</sst>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"/>
  </numFmts>
  <fonts count="12" x14ac:knownFonts="1">
    <font>
      <sz val="11"/>
      <color theme="1"/>
      <name val="Calibri"/>
      <family val="2"/>
      <scheme val="minor"/>
    </font>
    <font>
      <b/>
      <sz val="14"/>
      <name val="Arial"/>
    </font>
    <font>
      <i/>
      <sz val="10"/>
      <color rgb="FF808080"/>
      <name val="Arial"/>
    </font>
    <font>
      <b/>
      <sz val="10"/>
      <color rgb="FFFFFFFF"/>
      <name val="Arial"/>
    </font>
    <font>
      <b/>
      <sz val="10"/>
      <name val="Arial"/>
    </font>
    <font>
      <sz val="10"/>
      <name val="Arial"/>
    </font>
    <font>
      <sz val="10"/>
      <color rgb="FF0000FF"/>
      <name val="Arial"/>
    </font>
    <font>
      <i/>
      <sz val="9"/>
      <color rgb="FF000000"/>
      <name val="Arial"/>
    </font>
    <font>
      <sz val="10"/>
      <color rgb="FFC00000"/>
      <name val="Arial"/>
    </font>
    <font>
      <i/>
      <sz val="9"/>
      <color rgb="FFC00000"/>
      <name val="Arial"/>
    </font>
    <font>
      <i/>
      <sz val="9"/>
      <color rgb="FF808080"/>
      <name val="Arial"/>
    </font>
    <font>
      <b/>
      <sz val="13"/>
      <name val="Arial"/>
    </font>
  </fonts>
  <fills count="5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F2F2F2"/>
      </patternFill>
    </fill>
    <fill>
      <patternFill patternType="solid">
        <fgColor rgb="FFFFF2CC"/>
      </patternFill>
    </fill>
  </fills>
  <borders count="2">
    <border>
      <left/>
      <right/>
      <top/>
      <bottom/>
      <diagonal/>
    </border>
    <border>
      <left/>
      <right/>
      <top/>
      <bottom style="thin">
        <color rgb="FFBFBFBF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 vertical="center" wrapText="1"/>
    </xf>
    <xf numFmtId="0" fontId="4" fillId="0" borderId="1" xfId="0" applyFont="1" applyBorder="1"/>
    <xf numFmtId="164" fontId="5" fillId="0" borderId="1" xfId="0" applyNumberFormat="1" applyFont="1" applyBorder="1"/>
    <xf numFmtId="3" fontId="5" fillId="0" borderId="1" xfId="0" applyNumberFormat="1" applyFont="1" applyBorder="1"/>
    <xf numFmtId="3" fontId="6" fillId="0" borderId="1" xfId="0" applyNumberFormat="1" applyFont="1" applyBorder="1"/>
    <xf numFmtId="4" fontId="5" fillId="0" borderId="1" xfId="0" applyNumberFormat="1" applyFont="1" applyBorder="1"/>
    <xf numFmtId="2" fontId="5" fillId="0" borderId="1" xfId="0" applyNumberFormat="1" applyFont="1" applyBorder="1"/>
    <xf numFmtId="0" fontId="7" fillId="0" borderId="1" xfId="0" applyFont="1" applyBorder="1"/>
    <xf numFmtId="0" fontId="4" fillId="3" borderId="1" xfId="0" applyFont="1" applyFill="1" applyBorder="1"/>
    <xf numFmtId="164" fontId="5" fillId="3" borderId="1" xfId="0" applyNumberFormat="1" applyFont="1" applyFill="1" applyBorder="1"/>
    <xf numFmtId="3" fontId="5" fillId="3" borderId="1" xfId="0" applyNumberFormat="1" applyFont="1" applyFill="1" applyBorder="1"/>
    <xf numFmtId="3" fontId="6" fillId="3" borderId="1" xfId="0" applyNumberFormat="1" applyFont="1" applyFill="1" applyBorder="1"/>
    <xf numFmtId="4" fontId="5" fillId="3" borderId="1" xfId="0" applyNumberFormat="1" applyFont="1" applyFill="1" applyBorder="1"/>
    <xf numFmtId="2" fontId="5" fillId="3" borderId="1" xfId="0" applyNumberFormat="1" applyFont="1" applyFill="1" applyBorder="1"/>
    <xf numFmtId="0" fontId="7" fillId="3" borderId="1" xfId="0" applyFont="1" applyFill="1" applyBorder="1"/>
    <xf numFmtId="0" fontId="4" fillId="4" borderId="1" xfId="0" applyFont="1" applyFill="1" applyBorder="1"/>
    <xf numFmtId="164" fontId="5" fillId="4" borderId="1" xfId="0" applyNumberFormat="1" applyFont="1" applyFill="1" applyBorder="1"/>
    <xf numFmtId="3" fontId="5" fillId="4" borderId="1" xfId="0" applyNumberFormat="1" applyFont="1" applyFill="1" applyBorder="1"/>
    <xf numFmtId="3" fontId="8" fillId="4" borderId="1" xfId="0" applyNumberFormat="1" applyFont="1" applyFill="1" applyBorder="1"/>
    <xf numFmtId="3" fontId="6" fillId="4" borderId="1" xfId="0" applyNumberFormat="1" applyFont="1" applyFill="1" applyBorder="1"/>
    <xf numFmtId="4" fontId="5" fillId="4" borderId="1" xfId="0" applyNumberFormat="1" applyFont="1" applyFill="1" applyBorder="1" applyAlignment="1">
      <alignment horizontal="right"/>
    </xf>
    <xf numFmtId="2" fontId="5" fillId="4" borderId="1" xfId="0" applyNumberFormat="1" applyFont="1" applyFill="1" applyBorder="1" applyAlignment="1">
      <alignment horizontal="right"/>
    </xf>
    <xf numFmtId="0" fontId="9" fillId="4" borderId="1" xfId="0" applyFont="1" applyFill="1" applyBorder="1"/>
    <xf numFmtId="0" fontId="4" fillId="0" borderId="0" xfId="0" applyFont="1"/>
    <xf numFmtId="164" fontId="4" fillId="0" borderId="0" xfId="0" applyNumberFormat="1" applyFont="1"/>
    <xf numFmtId="3" fontId="4" fillId="0" borderId="0" xfId="0" applyNumberFormat="1" applyFont="1"/>
    <xf numFmtId="4" fontId="4" fillId="0" borderId="0" xfId="0" applyNumberFormat="1" applyFont="1"/>
    <xf numFmtId="2" fontId="4" fillId="0" borderId="0" xfId="0" applyNumberFormat="1" applyFont="1"/>
    <xf numFmtId="0" fontId="10" fillId="0" borderId="0" xfId="0" applyFont="1"/>
    <xf numFmtId="0" fontId="11" fillId="0" borderId="0" xfId="0" applyFont="1"/>
    <xf numFmtId="0" fontId="4" fillId="0" borderId="0" xfId="0" applyFont="1" applyAlignment="1">
      <alignment vertical="top"/>
    </xf>
    <xf numFmtId="0" fontId="5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42"/>
  <sheetViews>
    <sheetView tabSelected="1" workbookViewId="0">
      <pane ySplit="4" topLeftCell="A5" activePane="bottomLeft" state="frozen"/>
      <selection pane="bottomLeft"/>
    </sheetView>
  </sheetViews>
  <sheetFormatPr defaultRowHeight="14.4" x14ac:dyDescent="0.3"/>
  <cols>
    <col min="1" max="1" width="12" customWidth="1"/>
    <col min="2" max="2" width="11" customWidth="1"/>
    <col min="3" max="3" width="14" customWidth="1"/>
    <col min="4" max="5" width="16" customWidth="1"/>
    <col min="6" max="6" width="14" customWidth="1"/>
    <col min="7" max="8" width="12" customWidth="1"/>
    <col min="9" max="9" width="17" customWidth="1"/>
    <col min="10" max="10" width="34" customWidth="1"/>
  </cols>
  <sheetData>
    <row r="1" spans="1:10" ht="17.399999999999999" x14ac:dyDescent="0.3">
      <c r="A1" s="1" t="s">
        <v>0</v>
      </c>
    </row>
    <row r="2" spans="1:10" x14ac:dyDescent="0.3">
      <c r="A2" s="2" t="s">
        <v>1</v>
      </c>
    </row>
    <row r="4" spans="1:10" ht="30" customHeight="1" x14ac:dyDescent="0.3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</row>
    <row r="5" spans="1:10" x14ac:dyDescent="0.3">
      <c r="A5" s="4" t="s">
        <v>12</v>
      </c>
      <c r="B5" s="5">
        <v>61.24</v>
      </c>
      <c r="C5" s="6">
        <v>3271</v>
      </c>
      <c r="D5" s="7">
        <v>26425</v>
      </c>
      <c r="E5" s="7">
        <v>25324</v>
      </c>
      <c r="F5" s="7">
        <v>11475</v>
      </c>
      <c r="G5" s="8">
        <f t="shared" ref="G5:G38" si="0">D5/1000</f>
        <v>26.425000000000001</v>
      </c>
      <c r="H5" s="8">
        <f t="shared" ref="H5:H38" si="1">E5/1000</f>
        <v>25.324000000000002</v>
      </c>
      <c r="I5" s="9">
        <f t="shared" ref="I5:I38" si="2">IFERROR(D5/F5,"")</f>
        <v>2.3028322440087146</v>
      </c>
      <c r="J5" s="10"/>
    </row>
    <row r="6" spans="1:10" x14ac:dyDescent="0.3">
      <c r="A6" s="11" t="s">
        <v>13</v>
      </c>
      <c r="B6" s="12">
        <v>54.2</v>
      </c>
      <c r="C6" s="13">
        <v>2992</v>
      </c>
      <c r="D6" s="14">
        <v>26144</v>
      </c>
      <c r="E6" s="14">
        <v>24523</v>
      </c>
      <c r="F6" s="14">
        <v>11982</v>
      </c>
      <c r="G6" s="15">
        <f t="shared" si="0"/>
        <v>26.143999999999998</v>
      </c>
      <c r="H6" s="15">
        <f t="shared" si="1"/>
        <v>24.523</v>
      </c>
      <c r="I6" s="16">
        <f t="shared" si="2"/>
        <v>2.1819395760307128</v>
      </c>
      <c r="J6" s="17"/>
    </row>
    <row r="7" spans="1:10" x14ac:dyDescent="0.3">
      <c r="A7" s="4" t="s">
        <v>14</v>
      </c>
      <c r="B7" s="5">
        <v>58.52</v>
      </c>
      <c r="C7" s="6">
        <v>3110</v>
      </c>
      <c r="D7" s="7">
        <v>24573</v>
      </c>
      <c r="E7" s="7">
        <v>23561</v>
      </c>
      <c r="F7" s="7">
        <v>11159</v>
      </c>
      <c r="G7" s="8">
        <f t="shared" si="0"/>
        <v>24.573</v>
      </c>
      <c r="H7" s="8">
        <f t="shared" si="1"/>
        <v>23.561</v>
      </c>
      <c r="I7" s="9">
        <f t="shared" si="2"/>
        <v>2.2020790393404428</v>
      </c>
      <c r="J7" s="10"/>
    </row>
    <row r="8" spans="1:10" x14ac:dyDescent="0.3">
      <c r="A8" s="11" t="s">
        <v>15</v>
      </c>
      <c r="B8" s="12">
        <v>46.69</v>
      </c>
      <c r="C8" s="13">
        <v>3078</v>
      </c>
      <c r="D8" s="14">
        <v>23904</v>
      </c>
      <c r="E8" s="14">
        <v>23311</v>
      </c>
      <c r="F8" s="14">
        <v>11323</v>
      </c>
      <c r="G8" s="15">
        <f t="shared" si="0"/>
        <v>23.904</v>
      </c>
      <c r="H8" s="15">
        <f t="shared" si="1"/>
        <v>23.311</v>
      </c>
      <c r="I8" s="16">
        <f t="shared" si="2"/>
        <v>2.1111012982425152</v>
      </c>
      <c r="J8" s="17"/>
    </row>
    <row r="9" spans="1:10" x14ac:dyDescent="0.3">
      <c r="A9" s="4" t="s">
        <v>16</v>
      </c>
      <c r="B9" s="5">
        <v>61.56</v>
      </c>
      <c r="C9" s="6">
        <v>3161</v>
      </c>
      <c r="D9" s="7">
        <v>23560</v>
      </c>
      <c r="E9" s="7">
        <v>22243</v>
      </c>
      <c r="F9" s="7">
        <v>11726</v>
      </c>
      <c r="G9" s="8">
        <f t="shared" si="0"/>
        <v>23.56</v>
      </c>
      <c r="H9" s="8">
        <f t="shared" si="1"/>
        <v>22.242999999999999</v>
      </c>
      <c r="I9" s="9">
        <f t="shared" si="2"/>
        <v>2.0092103018932286</v>
      </c>
      <c r="J9" s="10"/>
    </row>
    <row r="10" spans="1:10" x14ac:dyDescent="0.3">
      <c r="A10" s="11" t="s">
        <v>17</v>
      </c>
      <c r="B10" s="12">
        <v>70.47</v>
      </c>
      <c r="C10" s="13">
        <v>3481</v>
      </c>
      <c r="D10" s="14">
        <v>23342</v>
      </c>
      <c r="E10" s="14">
        <v>21518</v>
      </c>
      <c r="F10" s="14">
        <v>10886</v>
      </c>
      <c r="G10" s="15">
        <f t="shared" si="0"/>
        <v>23.341999999999999</v>
      </c>
      <c r="H10" s="15">
        <f t="shared" si="1"/>
        <v>21.518000000000001</v>
      </c>
      <c r="I10" s="16">
        <f t="shared" si="2"/>
        <v>2.1442219364321145</v>
      </c>
      <c r="J10" s="17"/>
    </row>
    <row r="11" spans="1:10" x14ac:dyDescent="0.3">
      <c r="A11" s="4" t="s">
        <v>18</v>
      </c>
      <c r="B11" s="5">
        <v>52.01</v>
      </c>
      <c r="C11" s="6">
        <v>3100</v>
      </c>
      <c r="D11" s="7">
        <v>23158</v>
      </c>
      <c r="E11" s="7">
        <v>22257</v>
      </c>
      <c r="F11" s="7">
        <v>10871</v>
      </c>
      <c r="G11" s="8">
        <f t="shared" si="0"/>
        <v>23.158000000000001</v>
      </c>
      <c r="H11" s="8">
        <f t="shared" si="1"/>
        <v>22.257000000000001</v>
      </c>
      <c r="I11" s="9">
        <f t="shared" si="2"/>
        <v>2.1302548063655595</v>
      </c>
      <c r="J11" s="10"/>
    </row>
    <row r="12" spans="1:10" x14ac:dyDescent="0.3">
      <c r="A12" s="11" t="s">
        <v>19</v>
      </c>
      <c r="B12" s="12">
        <v>53.65</v>
      </c>
      <c r="C12" s="13">
        <v>3197</v>
      </c>
      <c r="D12" s="14">
        <v>23119</v>
      </c>
      <c r="E12" s="14">
        <v>21668</v>
      </c>
      <c r="F12" s="14">
        <v>11107</v>
      </c>
      <c r="G12" s="15">
        <f t="shared" si="0"/>
        <v>23.119</v>
      </c>
      <c r="H12" s="15">
        <f t="shared" si="1"/>
        <v>21.667999999999999</v>
      </c>
      <c r="I12" s="16">
        <f t="shared" si="2"/>
        <v>2.0814801476546321</v>
      </c>
      <c r="J12" s="17"/>
    </row>
    <row r="13" spans="1:10" x14ac:dyDescent="0.3">
      <c r="A13" s="4" t="s">
        <v>20</v>
      </c>
      <c r="B13" s="5">
        <v>67.819999999999993</v>
      </c>
      <c r="C13" s="6">
        <v>4140</v>
      </c>
      <c r="D13" s="7">
        <v>22302</v>
      </c>
      <c r="E13" s="7">
        <v>20463</v>
      </c>
      <c r="F13" s="7">
        <v>10009</v>
      </c>
      <c r="G13" s="8">
        <f t="shared" si="0"/>
        <v>22.302</v>
      </c>
      <c r="H13" s="8">
        <f t="shared" si="1"/>
        <v>20.463000000000001</v>
      </c>
      <c r="I13" s="9">
        <f t="shared" si="2"/>
        <v>2.2281946248376463</v>
      </c>
      <c r="J13" s="10"/>
    </row>
    <row r="14" spans="1:10" x14ac:dyDescent="0.3">
      <c r="A14" s="11" t="s">
        <v>21</v>
      </c>
      <c r="B14" s="12">
        <v>263.77999999999997</v>
      </c>
      <c r="C14" s="13">
        <v>6934</v>
      </c>
      <c r="D14" s="14">
        <v>21751</v>
      </c>
      <c r="E14" s="14">
        <v>19850</v>
      </c>
      <c r="F14" s="14">
        <v>9384</v>
      </c>
      <c r="G14" s="15">
        <f t="shared" si="0"/>
        <v>21.751000000000001</v>
      </c>
      <c r="H14" s="15">
        <f t="shared" si="1"/>
        <v>19.850000000000001</v>
      </c>
      <c r="I14" s="16">
        <f t="shared" si="2"/>
        <v>2.3178815004262576</v>
      </c>
      <c r="J14" s="17"/>
    </row>
    <row r="15" spans="1:10" x14ac:dyDescent="0.3">
      <c r="A15" s="4" t="s">
        <v>22</v>
      </c>
      <c r="B15" s="5">
        <v>143</v>
      </c>
      <c r="C15" s="6">
        <v>5499</v>
      </c>
      <c r="D15" s="7">
        <v>19403</v>
      </c>
      <c r="E15" s="7">
        <v>18480</v>
      </c>
      <c r="F15" s="7">
        <v>8307</v>
      </c>
      <c r="G15" s="8">
        <f t="shared" si="0"/>
        <v>19.402999999999999</v>
      </c>
      <c r="H15" s="8">
        <f t="shared" si="1"/>
        <v>18.48</v>
      </c>
      <c r="I15" s="9">
        <f t="shared" si="2"/>
        <v>2.3357409413747443</v>
      </c>
      <c r="J15" s="10"/>
    </row>
    <row r="16" spans="1:10" x14ac:dyDescent="0.3">
      <c r="A16" s="11" t="s">
        <v>23</v>
      </c>
      <c r="B16" s="12">
        <v>95.86</v>
      </c>
      <c r="C16" s="13">
        <v>4455</v>
      </c>
      <c r="D16" s="14">
        <v>19403</v>
      </c>
      <c r="E16" s="14">
        <v>16940</v>
      </c>
      <c r="F16" s="14">
        <v>7221</v>
      </c>
      <c r="G16" s="15">
        <f t="shared" si="0"/>
        <v>19.402999999999999</v>
      </c>
      <c r="H16" s="15">
        <f t="shared" si="1"/>
        <v>16.940000000000001</v>
      </c>
      <c r="I16" s="16">
        <f t="shared" si="2"/>
        <v>2.6870239579005677</v>
      </c>
      <c r="J16" s="17"/>
    </row>
    <row r="17" spans="1:10" x14ac:dyDescent="0.3">
      <c r="A17" s="4" t="s">
        <v>24</v>
      </c>
      <c r="B17" s="5">
        <v>99.15</v>
      </c>
      <c r="C17" s="6">
        <v>4640</v>
      </c>
      <c r="D17" s="7">
        <v>19398</v>
      </c>
      <c r="E17" s="7">
        <v>18506</v>
      </c>
      <c r="F17" s="7">
        <v>8248</v>
      </c>
      <c r="G17" s="8">
        <f t="shared" si="0"/>
        <v>19.398</v>
      </c>
      <c r="H17" s="8">
        <f t="shared" si="1"/>
        <v>18.506</v>
      </c>
      <c r="I17" s="9">
        <f t="shared" si="2"/>
        <v>2.3518428709990302</v>
      </c>
      <c r="J17" s="10"/>
    </row>
    <row r="18" spans="1:10" x14ac:dyDescent="0.3">
      <c r="A18" s="11" t="s">
        <v>25</v>
      </c>
      <c r="B18" s="12">
        <v>96.37</v>
      </c>
      <c r="C18" s="13">
        <v>4536</v>
      </c>
      <c r="D18" s="14">
        <v>19398</v>
      </c>
      <c r="E18" s="14">
        <v>18506</v>
      </c>
      <c r="F18" s="14">
        <v>8256</v>
      </c>
      <c r="G18" s="15">
        <f t="shared" si="0"/>
        <v>19.398</v>
      </c>
      <c r="H18" s="15">
        <f t="shared" si="1"/>
        <v>18.506</v>
      </c>
      <c r="I18" s="16">
        <f t="shared" si="2"/>
        <v>2.3495639534883721</v>
      </c>
      <c r="J18" s="17"/>
    </row>
    <row r="19" spans="1:10" x14ac:dyDescent="0.3">
      <c r="A19" s="4" t="s">
        <v>26</v>
      </c>
      <c r="B19" s="5">
        <v>54.78</v>
      </c>
      <c r="C19" s="6">
        <v>3399</v>
      </c>
      <c r="D19" s="7">
        <v>18604</v>
      </c>
      <c r="E19" s="7">
        <v>18132</v>
      </c>
      <c r="F19" s="7">
        <v>9205</v>
      </c>
      <c r="G19" s="8">
        <f t="shared" si="0"/>
        <v>18.603999999999999</v>
      </c>
      <c r="H19" s="8">
        <f t="shared" si="1"/>
        <v>18.132000000000001</v>
      </c>
      <c r="I19" s="9">
        <f t="shared" si="2"/>
        <v>2.0210755024443237</v>
      </c>
      <c r="J19" s="10"/>
    </row>
    <row r="20" spans="1:10" x14ac:dyDescent="0.3">
      <c r="A20" s="11" t="s">
        <v>27</v>
      </c>
      <c r="B20" s="12">
        <v>43.25</v>
      </c>
      <c r="C20" s="13">
        <v>3108</v>
      </c>
      <c r="D20" s="14">
        <v>18604</v>
      </c>
      <c r="E20" s="14">
        <v>18103</v>
      </c>
      <c r="F20" s="14">
        <v>8461</v>
      </c>
      <c r="G20" s="15">
        <f t="shared" si="0"/>
        <v>18.603999999999999</v>
      </c>
      <c r="H20" s="15">
        <f t="shared" si="1"/>
        <v>18.103000000000002</v>
      </c>
      <c r="I20" s="16">
        <f t="shared" si="2"/>
        <v>2.1987944687389196</v>
      </c>
      <c r="J20" s="17"/>
    </row>
    <row r="21" spans="1:10" x14ac:dyDescent="0.3">
      <c r="A21" s="4" t="s">
        <v>28</v>
      </c>
      <c r="B21" s="5">
        <v>63.94</v>
      </c>
      <c r="C21" s="6">
        <v>3736</v>
      </c>
      <c r="D21" s="7">
        <v>18185</v>
      </c>
      <c r="E21" s="7">
        <v>17178</v>
      </c>
      <c r="F21" s="7">
        <v>9056</v>
      </c>
      <c r="G21" s="8">
        <f t="shared" si="0"/>
        <v>18.184999999999999</v>
      </c>
      <c r="H21" s="8">
        <f t="shared" si="1"/>
        <v>17.178000000000001</v>
      </c>
      <c r="I21" s="9">
        <f t="shared" si="2"/>
        <v>2.0080609540636041</v>
      </c>
      <c r="J21" s="10"/>
    </row>
    <row r="22" spans="1:10" x14ac:dyDescent="0.3">
      <c r="A22" s="11" t="s">
        <v>29</v>
      </c>
      <c r="B22" s="12">
        <v>50.64</v>
      </c>
      <c r="C22" s="13">
        <v>3002</v>
      </c>
      <c r="D22" s="14">
        <v>18132</v>
      </c>
      <c r="E22" s="14">
        <v>16468</v>
      </c>
      <c r="F22" s="14">
        <v>8442</v>
      </c>
      <c r="G22" s="15">
        <f t="shared" si="0"/>
        <v>18.132000000000001</v>
      </c>
      <c r="H22" s="15">
        <f t="shared" si="1"/>
        <v>16.468</v>
      </c>
      <c r="I22" s="16">
        <f t="shared" si="2"/>
        <v>2.1478322672352523</v>
      </c>
      <c r="J22" s="17"/>
    </row>
    <row r="23" spans="1:10" x14ac:dyDescent="0.3">
      <c r="A23" s="4" t="s">
        <v>30</v>
      </c>
      <c r="B23" s="5">
        <v>114.58</v>
      </c>
      <c r="C23" s="6">
        <v>5085</v>
      </c>
      <c r="D23" s="7">
        <v>17352</v>
      </c>
      <c r="E23" s="7">
        <v>15789</v>
      </c>
      <c r="F23" s="7">
        <v>8501</v>
      </c>
      <c r="G23" s="8">
        <f t="shared" si="0"/>
        <v>17.352</v>
      </c>
      <c r="H23" s="8">
        <f t="shared" si="1"/>
        <v>15.789</v>
      </c>
      <c r="I23" s="9">
        <f t="shared" si="2"/>
        <v>2.0411716268674271</v>
      </c>
      <c r="J23" s="10"/>
    </row>
    <row r="24" spans="1:10" x14ac:dyDescent="0.3">
      <c r="A24" s="11" t="s">
        <v>31</v>
      </c>
      <c r="B24" s="12">
        <v>114.01</v>
      </c>
      <c r="C24" s="13">
        <v>5071</v>
      </c>
      <c r="D24" s="14">
        <v>17352</v>
      </c>
      <c r="E24" s="14">
        <v>16762</v>
      </c>
      <c r="F24" s="14">
        <v>9352</v>
      </c>
      <c r="G24" s="15">
        <f t="shared" si="0"/>
        <v>17.352</v>
      </c>
      <c r="H24" s="15">
        <f t="shared" si="1"/>
        <v>16.762</v>
      </c>
      <c r="I24" s="16">
        <f t="shared" si="2"/>
        <v>1.8554319931565439</v>
      </c>
      <c r="J24" s="17"/>
    </row>
    <row r="25" spans="1:10" x14ac:dyDescent="0.3">
      <c r="A25" s="4" t="s">
        <v>32</v>
      </c>
      <c r="B25" s="5">
        <v>73.88</v>
      </c>
      <c r="C25" s="6">
        <v>4134</v>
      </c>
      <c r="D25" s="7">
        <v>17322</v>
      </c>
      <c r="E25" s="7">
        <v>15728</v>
      </c>
      <c r="F25" s="7">
        <v>7712</v>
      </c>
      <c r="G25" s="8">
        <f t="shared" si="0"/>
        <v>17.321999999999999</v>
      </c>
      <c r="H25" s="8">
        <f t="shared" si="1"/>
        <v>15.728</v>
      </c>
      <c r="I25" s="9">
        <f t="shared" si="2"/>
        <v>2.2461099585062239</v>
      </c>
      <c r="J25" s="10"/>
    </row>
    <row r="26" spans="1:10" x14ac:dyDescent="0.3">
      <c r="A26" s="11" t="s">
        <v>33</v>
      </c>
      <c r="B26" s="12">
        <v>148.91</v>
      </c>
      <c r="C26" s="13">
        <v>5858</v>
      </c>
      <c r="D26" s="14">
        <v>17322</v>
      </c>
      <c r="E26" s="14">
        <v>15728</v>
      </c>
      <c r="F26" s="14">
        <v>7712</v>
      </c>
      <c r="G26" s="15">
        <f t="shared" si="0"/>
        <v>17.321999999999999</v>
      </c>
      <c r="H26" s="15">
        <f t="shared" si="1"/>
        <v>15.728</v>
      </c>
      <c r="I26" s="16">
        <f t="shared" si="2"/>
        <v>2.2461099585062239</v>
      </c>
      <c r="J26" s="17"/>
    </row>
    <row r="27" spans="1:10" x14ac:dyDescent="0.3">
      <c r="A27" s="4" t="s">
        <v>34</v>
      </c>
      <c r="B27" s="5">
        <v>264.72000000000003</v>
      </c>
      <c r="C27" s="6">
        <v>6929</v>
      </c>
      <c r="D27" s="7">
        <v>17322</v>
      </c>
      <c r="E27" s="7">
        <v>13813</v>
      </c>
      <c r="F27" s="7">
        <v>6957</v>
      </c>
      <c r="G27" s="8">
        <f t="shared" si="0"/>
        <v>17.321999999999999</v>
      </c>
      <c r="H27" s="8">
        <f t="shared" si="1"/>
        <v>13.813000000000001</v>
      </c>
      <c r="I27" s="9">
        <f t="shared" si="2"/>
        <v>2.4898663216903838</v>
      </c>
      <c r="J27" s="10"/>
    </row>
    <row r="28" spans="1:10" x14ac:dyDescent="0.3">
      <c r="A28" s="11" t="s">
        <v>35</v>
      </c>
      <c r="B28" s="12">
        <v>51.15</v>
      </c>
      <c r="C28" s="13">
        <v>3147</v>
      </c>
      <c r="D28" s="14">
        <v>17267</v>
      </c>
      <c r="E28" s="14">
        <v>16869</v>
      </c>
      <c r="F28" s="14">
        <v>8842</v>
      </c>
      <c r="G28" s="15">
        <f t="shared" si="0"/>
        <v>17.266999999999999</v>
      </c>
      <c r="H28" s="15">
        <f t="shared" si="1"/>
        <v>16.869</v>
      </c>
      <c r="I28" s="16">
        <f t="shared" si="2"/>
        <v>1.952838724270527</v>
      </c>
      <c r="J28" s="17"/>
    </row>
    <row r="29" spans="1:10" x14ac:dyDescent="0.3">
      <c r="A29" s="4" t="s">
        <v>36</v>
      </c>
      <c r="B29" s="5">
        <v>31.74</v>
      </c>
      <c r="C29" s="6">
        <v>2739</v>
      </c>
      <c r="D29" s="7">
        <v>16983</v>
      </c>
      <c r="E29" s="7">
        <v>16443</v>
      </c>
      <c r="F29" s="7">
        <v>7775</v>
      </c>
      <c r="G29" s="8">
        <f t="shared" si="0"/>
        <v>16.983000000000001</v>
      </c>
      <c r="H29" s="8">
        <f t="shared" si="1"/>
        <v>16.443000000000001</v>
      </c>
      <c r="I29" s="9">
        <f t="shared" si="2"/>
        <v>2.1843086816720256</v>
      </c>
      <c r="J29" s="10"/>
    </row>
    <row r="30" spans="1:10" x14ac:dyDescent="0.3">
      <c r="A30" s="11" t="s">
        <v>37</v>
      </c>
      <c r="B30" s="12">
        <v>113.04</v>
      </c>
      <c r="C30" s="13">
        <v>5041</v>
      </c>
      <c r="D30" s="14">
        <v>16860</v>
      </c>
      <c r="E30" s="14">
        <v>14233</v>
      </c>
      <c r="F30" s="14">
        <v>8850</v>
      </c>
      <c r="G30" s="15">
        <f t="shared" si="0"/>
        <v>16.86</v>
      </c>
      <c r="H30" s="15">
        <f t="shared" si="1"/>
        <v>14.233000000000001</v>
      </c>
      <c r="I30" s="16">
        <f t="shared" si="2"/>
        <v>1.9050847457627118</v>
      </c>
      <c r="J30" s="17"/>
    </row>
    <row r="31" spans="1:10" x14ac:dyDescent="0.3">
      <c r="A31" s="4" t="s">
        <v>38</v>
      </c>
      <c r="B31" s="5">
        <v>108.06</v>
      </c>
      <c r="C31" s="6">
        <v>5283</v>
      </c>
      <c r="D31" s="7">
        <v>16822</v>
      </c>
      <c r="E31" s="7">
        <v>15212</v>
      </c>
      <c r="F31" s="7">
        <v>9732</v>
      </c>
      <c r="G31" s="8">
        <f t="shared" si="0"/>
        <v>16.821999999999999</v>
      </c>
      <c r="H31" s="8">
        <f t="shared" si="1"/>
        <v>15.212</v>
      </c>
      <c r="I31" s="9">
        <f t="shared" si="2"/>
        <v>1.72852445540485</v>
      </c>
      <c r="J31" s="10"/>
    </row>
    <row r="32" spans="1:10" x14ac:dyDescent="0.3">
      <c r="A32" s="11" t="s">
        <v>39</v>
      </c>
      <c r="B32" s="12">
        <v>14.18</v>
      </c>
      <c r="C32" s="13">
        <v>1756</v>
      </c>
      <c r="D32" s="14">
        <v>16654</v>
      </c>
      <c r="E32" s="14">
        <v>15919</v>
      </c>
      <c r="F32" s="14">
        <v>7912</v>
      </c>
      <c r="G32" s="15">
        <f t="shared" si="0"/>
        <v>16.654</v>
      </c>
      <c r="H32" s="15">
        <f t="shared" si="1"/>
        <v>15.919</v>
      </c>
      <c r="I32" s="16">
        <f t="shared" si="2"/>
        <v>2.1049039433771486</v>
      </c>
      <c r="J32" s="17"/>
    </row>
    <row r="33" spans="1:10" x14ac:dyDescent="0.3">
      <c r="A33" s="4" t="s">
        <v>40</v>
      </c>
      <c r="B33" s="5">
        <v>110.23</v>
      </c>
      <c r="C33" s="6">
        <v>5065</v>
      </c>
      <c r="D33" s="7">
        <v>16452</v>
      </c>
      <c r="E33" s="7">
        <v>12673</v>
      </c>
      <c r="F33" s="7">
        <v>9477</v>
      </c>
      <c r="G33" s="8">
        <f t="shared" si="0"/>
        <v>16.452000000000002</v>
      </c>
      <c r="H33" s="8">
        <f t="shared" si="1"/>
        <v>12.673</v>
      </c>
      <c r="I33" s="9">
        <f t="shared" si="2"/>
        <v>1.7359924026590694</v>
      </c>
      <c r="J33" s="10"/>
    </row>
    <row r="34" spans="1:10" x14ac:dyDescent="0.3">
      <c r="A34" s="11" t="s">
        <v>41</v>
      </c>
      <c r="B34" s="12">
        <v>100.42</v>
      </c>
      <c r="C34" s="13">
        <v>5093</v>
      </c>
      <c r="D34" s="14">
        <v>15893</v>
      </c>
      <c r="E34" s="14">
        <v>14319</v>
      </c>
      <c r="F34" s="14">
        <v>7977</v>
      </c>
      <c r="G34" s="15">
        <f t="shared" si="0"/>
        <v>15.893000000000001</v>
      </c>
      <c r="H34" s="15">
        <f t="shared" si="1"/>
        <v>14.319000000000001</v>
      </c>
      <c r="I34" s="16">
        <f t="shared" si="2"/>
        <v>1.992353014917889</v>
      </c>
      <c r="J34" s="17"/>
    </row>
    <row r="35" spans="1:10" x14ac:dyDescent="0.3">
      <c r="A35" s="4" t="s">
        <v>42</v>
      </c>
      <c r="B35" s="5">
        <v>51.93</v>
      </c>
      <c r="C35" s="6">
        <v>3411</v>
      </c>
      <c r="D35" s="7">
        <v>15893</v>
      </c>
      <c r="E35" s="7">
        <v>14843</v>
      </c>
      <c r="F35" s="7">
        <v>7991</v>
      </c>
      <c r="G35" s="8">
        <f t="shared" si="0"/>
        <v>15.893000000000001</v>
      </c>
      <c r="H35" s="8">
        <f t="shared" si="1"/>
        <v>14.843</v>
      </c>
      <c r="I35" s="9">
        <f t="shared" si="2"/>
        <v>1.988862470279064</v>
      </c>
      <c r="J35" s="10"/>
    </row>
    <row r="36" spans="1:10" x14ac:dyDescent="0.3">
      <c r="A36" s="11" t="s">
        <v>43</v>
      </c>
      <c r="B36" s="12">
        <v>109.74</v>
      </c>
      <c r="C36" s="13">
        <v>5134</v>
      </c>
      <c r="D36" s="14">
        <v>14709</v>
      </c>
      <c r="E36" s="14">
        <v>13784</v>
      </c>
      <c r="F36" s="14">
        <v>10367</v>
      </c>
      <c r="G36" s="15">
        <f t="shared" si="0"/>
        <v>14.709</v>
      </c>
      <c r="H36" s="15">
        <f t="shared" si="1"/>
        <v>13.784000000000001</v>
      </c>
      <c r="I36" s="16">
        <f t="shared" si="2"/>
        <v>1.4188289765602393</v>
      </c>
      <c r="J36" s="17"/>
    </row>
    <row r="37" spans="1:10" x14ac:dyDescent="0.3">
      <c r="A37" s="4" t="s">
        <v>44</v>
      </c>
      <c r="B37" s="5">
        <v>107.45</v>
      </c>
      <c r="C37" s="6">
        <v>5565</v>
      </c>
      <c r="D37" s="7">
        <v>13305</v>
      </c>
      <c r="E37" s="7">
        <v>12189</v>
      </c>
      <c r="F37" s="7">
        <v>7077</v>
      </c>
      <c r="G37" s="8">
        <f t="shared" si="0"/>
        <v>13.305</v>
      </c>
      <c r="H37" s="8">
        <f t="shared" si="1"/>
        <v>12.189</v>
      </c>
      <c r="I37" s="9">
        <f t="shared" si="2"/>
        <v>1.8800339126748622</v>
      </c>
      <c r="J37" s="10"/>
    </row>
    <row r="38" spans="1:10" x14ac:dyDescent="0.3">
      <c r="A38" s="11" t="s">
        <v>45</v>
      </c>
      <c r="B38" s="12">
        <v>210.74</v>
      </c>
      <c r="C38" s="13">
        <v>9468</v>
      </c>
      <c r="D38" s="14">
        <v>12697</v>
      </c>
      <c r="E38" s="14">
        <v>10661</v>
      </c>
      <c r="F38" s="14">
        <v>7561</v>
      </c>
      <c r="G38" s="15">
        <f t="shared" si="0"/>
        <v>12.696999999999999</v>
      </c>
      <c r="H38" s="15">
        <f t="shared" si="1"/>
        <v>10.661</v>
      </c>
      <c r="I38" s="16">
        <f t="shared" si="2"/>
        <v>1.6792752281444254</v>
      </c>
      <c r="J38" s="17"/>
    </row>
    <row r="39" spans="1:10" x14ac:dyDescent="0.3">
      <c r="A39" s="18" t="s">
        <v>46</v>
      </c>
      <c r="B39" s="19">
        <v>51.45</v>
      </c>
      <c r="C39" s="20">
        <v>3530</v>
      </c>
      <c r="D39" s="21" t="s">
        <v>47</v>
      </c>
      <c r="E39" s="21" t="s">
        <v>47</v>
      </c>
      <c r="F39" s="22">
        <v>9210</v>
      </c>
      <c r="G39" s="23" t="s">
        <v>48</v>
      </c>
      <c r="H39" s="23" t="s">
        <v>48</v>
      </c>
      <c r="I39" s="24" t="s">
        <v>48</v>
      </c>
      <c r="J39" s="25" t="s">
        <v>49</v>
      </c>
    </row>
    <row r="41" spans="1:10" x14ac:dyDescent="0.3">
      <c r="A41" s="26" t="s">
        <v>50</v>
      </c>
      <c r="B41" s="27">
        <f>SUM(B5:B39)</f>
        <v>3213.1599999999989</v>
      </c>
      <c r="D41" s="28">
        <f>MAX(D5:D39)</f>
        <v>26425</v>
      </c>
      <c r="G41" s="29">
        <f>IFERROR(MAX(G5:G39),"")</f>
        <v>26.425000000000001</v>
      </c>
      <c r="I41" s="30">
        <f>IFERROR(AVERAGE(I5:I39),"")</f>
        <v>2.0958478472331246</v>
      </c>
    </row>
    <row r="42" spans="1:10" x14ac:dyDescent="0.3">
      <c r="A42" s="31" t="s">
        <v>51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2"/>
  <sheetViews>
    <sheetView workbookViewId="0"/>
  </sheetViews>
  <sheetFormatPr defaultRowHeight="14.4" x14ac:dyDescent="0.3"/>
  <cols>
    <col min="1" max="1" width="26" customWidth="1"/>
    <col min="2" max="2" width="95" customWidth="1"/>
  </cols>
  <sheetData>
    <row r="1" spans="1:2" ht="16.8" x14ac:dyDescent="0.3">
      <c r="A1" s="32" t="s">
        <v>52</v>
      </c>
    </row>
    <row r="3" spans="1:2" ht="30" customHeight="1" x14ac:dyDescent="0.3">
      <c r="A3" s="33" t="s">
        <v>53</v>
      </c>
      <c r="B3" s="34" t="s">
        <v>54</v>
      </c>
    </row>
    <row r="4" spans="1:2" ht="30" customHeight="1" x14ac:dyDescent="0.3">
      <c r="A4" s="33" t="s">
        <v>55</v>
      </c>
      <c r="B4" s="34" t="s">
        <v>56</v>
      </c>
    </row>
    <row r="5" spans="1:2" ht="30" customHeight="1" x14ac:dyDescent="0.3">
      <c r="A5" s="33" t="s">
        <v>57</v>
      </c>
      <c r="B5" s="34" t="s">
        <v>58</v>
      </c>
    </row>
    <row r="6" spans="1:2" ht="30" customHeight="1" x14ac:dyDescent="0.3">
      <c r="A6" s="33" t="s">
        <v>59</v>
      </c>
      <c r="B6" s="34" t="s">
        <v>60</v>
      </c>
    </row>
    <row r="7" spans="1:2" ht="30" customHeight="1" x14ac:dyDescent="0.3">
      <c r="A7" s="33" t="s">
        <v>61</v>
      </c>
      <c r="B7" s="34" t="s">
        <v>62</v>
      </c>
    </row>
    <row r="8" spans="1:2" ht="30" customHeight="1" x14ac:dyDescent="0.3">
      <c r="A8" s="33" t="s">
        <v>63</v>
      </c>
      <c r="B8" s="34" t="s">
        <v>64</v>
      </c>
    </row>
    <row r="9" spans="1:2" ht="30" customHeight="1" x14ac:dyDescent="0.3">
      <c r="A9" s="33" t="s">
        <v>65</v>
      </c>
      <c r="B9" s="34" t="s">
        <v>66</v>
      </c>
    </row>
    <row r="10" spans="1:2" ht="30" customHeight="1" x14ac:dyDescent="0.3">
      <c r="A10" s="33" t="s">
        <v>67</v>
      </c>
      <c r="B10" s="34" t="s">
        <v>68</v>
      </c>
    </row>
    <row r="11" spans="1:2" ht="30" customHeight="1" x14ac:dyDescent="0.3">
      <c r="A11" s="33" t="s">
        <v>69</v>
      </c>
      <c r="B11" s="34" t="s">
        <v>70</v>
      </c>
    </row>
    <row r="12" spans="1:2" ht="30" customHeight="1" x14ac:dyDescent="0.3">
      <c r="A12" s="33" t="s">
        <v>71</v>
      </c>
      <c r="B12" s="34" t="s">
        <v>72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Distâncias</vt:lpstr>
      <vt:lpstr>Premissas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Maxsander dos Santos Vilela</cp:lastModifiedBy>
  <dcterms:created xsi:type="dcterms:W3CDTF">2026-09-16T11:54:22Z</dcterms:created>
  <dcterms:modified xsi:type="dcterms:W3CDTF">2026-09-16T11:58:56Z</dcterms:modified>
</cp:coreProperties>
</file>