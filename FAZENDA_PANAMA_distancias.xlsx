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7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PANAMA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T-03</t>
        </is>
      </c>
      <c r="B5" s="5" t="n">
        <v>73.69</v>
      </c>
      <c r="C5" s="6" t="n">
        <v>4875</v>
      </c>
      <c r="D5" s="7" t="n">
        <v>7675</v>
      </c>
      <c r="E5" s="7" t="n">
        <v>5617</v>
      </c>
      <c r="F5" s="7" t="n">
        <v>3796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T-06</t>
        </is>
      </c>
      <c r="B6" s="12" t="n">
        <v>165.19</v>
      </c>
      <c r="C6" s="13" t="n">
        <v>5893</v>
      </c>
      <c r="D6" s="14" t="n">
        <v>7280</v>
      </c>
      <c r="E6" s="14" t="n">
        <v>4503</v>
      </c>
      <c r="F6" s="14" t="n">
        <v>2870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P-23</t>
        </is>
      </c>
      <c r="B7" s="5" t="n">
        <v>126.4</v>
      </c>
      <c r="C7" s="6" t="n">
        <v>4651</v>
      </c>
      <c r="D7" s="7" t="n">
        <v>6928</v>
      </c>
      <c r="E7" s="7" t="n">
        <v>4604</v>
      </c>
      <c r="F7" s="7" t="n">
        <v>3350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8" t="inlineStr">
        <is>
          <t>T-09</t>
        </is>
      </c>
      <c r="B8" s="19" t="n">
        <v>185.59</v>
      </c>
      <c r="C8" s="20" t="n">
        <v>6451</v>
      </c>
      <c r="D8" s="21" t="n">
        <v>6640</v>
      </c>
      <c r="E8" s="21" t="n">
        <v>3419</v>
      </c>
      <c r="F8" s="21" t="n">
        <v>2159</v>
      </c>
      <c r="G8" s="22">
        <f>D8/1000</f>
        <v/>
      </c>
      <c r="H8" s="22">
        <f>E8/1000</f>
        <v/>
      </c>
      <c r="I8" s="23">
        <f>IFERROR(D8/F8,"")</f>
        <v/>
      </c>
      <c r="J8" s="24" t="inlineStr"/>
    </row>
    <row r="9">
      <c r="A9" s="4" t="inlineStr">
        <is>
          <t>T-02</t>
        </is>
      </c>
      <c r="B9" s="5" t="n">
        <v>93.91</v>
      </c>
      <c r="C9" s="6" t="n">
        <v>4667</v>
      </c>
      <c r="D9" s="7" t="n">
        <v>6069</v>
      </c>
      <c r="E9" s="7" t="n">
        <v>3748</v>
      </c>
      <c r="F9" s="7" t="n">
        <v>3453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P-22</t>
        </is>
      </c>
      <c r="B10" s="12" t="n">
        <v>104.48</v>
      </c>
      <c r="C10" s="13" t="n">
        <v>4116</v>
      </c>
      <c r="D10" s="14" t="n">
        <v>5797</v>
      </c>
      <c r="E10" s="14" t="n">
        <v>3752</v>
      </c>
      <c r="F10" s="14" t="n">
        <v>2549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P-19</t>
        </is>
      </c>
      <c r="B11" s="5" t="n">
        <v>128.74</v>
      </c>
      <c r="C11" s="6" t="n">
        <v>4709</v>
      </c>
      <c r="D11" s="7" t="n">
        <v>5774</v>
      </c>
      <c r="E11" s="7" t="n">
        <v>3648</v>
      </c>
      <c r="F11" s="7" t="n">
        <v>2722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8" t="inlineStr">
        <is>
          <t>T-12</t>
        </is>
      </c>
      <c r="B12" s="19" t="n">
        <v>141.49</v>
      </c>
      <c r="C12" s="20" t="n">
        <v>7024</v>
      </c>
      <c r="D12" s="21" t="n">
        <v>5608</v>
      </c>
      <c r="E12" s="21" t="n">
        <v>2765</v>
      </c>
      <c r="F12" s="21" t="n">
        <v>1843</v>
      </c>
      <c r="G12" s="22">
        <f>D12/1000</f>
        <v/>
      </c>
      <c r="H12" s="22">
        <f>E12/1000</f>
        <v/>
      </c>
      <c r="I12" s="23">
        <f>IFERROR(D12/F12,"")</f>
        <v/>
      </c>
      <c r="J12" s="24" t="inlineStr"/>
    </row>
    <row r="13">
      <c r="A13" s="4" t="inlineStr">
        <is>
          <t>T-05</t>
        </is>
      </c>
      <c r="B13" s="5" t="n">
        <v>205.66</v>
      </c>
      <c r="C13" s="6" t="n">
        <v>5951</v>
      </c>
      <c r="D13" s="7" t="n">
        <v>5604</v>
      </c>
      <c r="E13" s="7" t="n">
        <v>2641</v>
      </c>
      <c r="F13" s="7" t="n">
        <v>2356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T-01</t>
        </is>
      </c>
      <c r="B14" s="12" t="n">
        <v>59.49</v>
      </c>
      <c r="C14" s="13" t="n">
        <v>4192</v>
      </c>
      <c r="D14" s="14" t="n">
        <v>5603</v>
      </c>
      <c r="E14" s="14" t="n">
        <v>3748</v>
      </c>
      <c r="F14" s="14" t="n">
        <v>3468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T-04</t>
        </is>
      </c>
      <c r="B15" s="5" t="n">
        <v>205.61</v>
      </c>
      <c r="C15" s="6" t="n">
        <v>5931</v>
      </c>
      <c r="D15" s="7" t="n">
        <v>5260</v>
      </c>
      <c r="E15" s="7" t="n">
        <v>2647</v>
      </c>
      <c r="F15" s="7" t="n">
        <v>2368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P-15</t>
        </is>
      </c>
      <c r="B16" s="12" t="n">
        <v>111.43</v>
      </c>
      <c r="C16" s="13" t="n">
        <v>5109</v>
      </c>
      <c r="D16" s="14" t="n">
        <v>5228</v>
      </c>
      <c r="E16" s="14" t="n">
        <v>2897</v>
      </c>
      <c r="F16" s="14" t="n">
        <v>1838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T-14</t>
        </is>
      </c>
      <c r="B17" s="5" t="n">
        <v>81.06999999999999</v>
      </c>
      <c r="C17" s="6" t="n">
        <v>4914</v>
      </c>
      <c r="D17" s="7" t="n">
        <v>5197</v>
      </c>
      <c r="E17" s="7" t="n">
        <v>2790</v>
      </c>
      <c r="F17" s="7" t="n">
        <v>1828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8" t="inlineStr">
        <is>
          <t>T-08</t>
        </is>
      </c>
      <c r="B18" s="19" t="n">
        <v>202.95</v>
      </c>
      <c r="C18" s="20" t="n">
        <v>5923</v>
      </c>
      <c r="D18" s="21" t="n">
        <v>4503</v>
      </c>
      <c r="E18" s="21" t="n">
        <v>1553</v>
      </c>
      <c r="F18" s="21" t="n">
        <v>1272</v>
      </c>
      <c r="G18" s="22">
        <f>D18/1000</f>
        <v/>
      </c>
      <c r="H18" s="22">
        <f>E18/1000</f>
        <v/>
      </c>
      <c r="I18" s="23">
        <f>IFERROR(D18/F18,"")</f>
        <v/>
      </c>
      <c r="J18" s="24" t="inlineStr"/>
    </row>
    <row r="19">
      <c r="A19" s="18" t="inlineStr">
        <is>
          <t>P-18</t>
        </is>
      </c>
      <c r="B19" s="19" t="n">
        <v>136.31</v>
      </c>
      <c r="C19" s="20" t="n">
        <v>4890</v>
      </c>
      <c r="D19" s="21" t="n">
        <v>4310</v>
      </c>
      <c r="E19" s="21" t="n">
        <v>1941</v>
      </c>
      <c r="F19" s="21" t="n">
        <v>1018</v>
      </c>
      <c r="G19" s="22">
        <f>D19/1000</f>
        <v/>
      </c>
      <c r="H19" s="22">
        <f>E19/1000</f>
        <v/>
      </c>
      <c r="I19" s="23">
        <f>IFERROR(D19/F19,"")</f>
        <v/>
      </c>
      <c r="J19" s="24" t="inlineStr"/>
    </row>
    <row r="20">
      <c r="A20" s="18" t="inlineStr">
        <is>
          <t>T-07</t>
        </is>
      </c>
      <c r="B20" s="19" t="n">
        <v>200.1</v>
      </c>
      <c r="C20" s="20" t="n">
        <v>5875</v>
      </c>
      <c r="D20" s="21" t="n">
        <v>4155</v>
      </c>
      <c r="E20" s="21" t="n">
        <v>1553</v>
      </c>
      <c r="F20" s="21" t="n">
        <v>1280</v>
      </c>
      <c r="G20" s="22">
        <f>D20/1000</f>
        <v/>
      </c>
      <c r="H20" s="22">
        <f>E20/1000</f>
        <v/>
      </c>
      <c r="I20" s="23">
        <f>IFERROR(D20/F20,"")</f>
        <v/>
      </c>
      <c r="J20" s="24" t="inlineStr"/>
    </row>
    <row r="21">
      <c r="A21" s="18" t="inlineStr">
        <is>
          <t>P-21</t>
        </is>
      </c>
      <c r="B21" s="19" t="n">
        <v>148.24</v>
      </c>
      <c r="C21" s="20" t="n">
        <v>4904</v>
      </c>
      <c r="D21" s="21" t="n">
        <v>3677</v>
      </c>
      <c r="E21" s="21" t="n">
        <v>1237</v>
      </c>
      <c r="F21" s="21" t="n">
        <v>1045</v>
      </c>
      <c r="G21" s="22">
        <f>D21/1000</f>
        <v/>
      </c>
      <c r="H21" s="22">
        <f>E21/1000</f>
        <v/>
      </c>
      <c r="I21" s="23">
        <f>IFERROR(D21/F21,"")</f>
        <v/>
      </c>
      <c r="J21" s="24" t="inlineStr"/>
    </row>
    <row r="22">
      <c r="A22" s="18" t="inlineStr">
        <is>
          <t>T-11</t>
        </is>
      </c>
      <c r="B22" s="19" t="n">
        <v>181.52</v>
      </c>
      <c r="C22" s="20" t="n">
        <v>7622</v>
      </c>
      <c r="D22" s="21" t="n">
        <v>3484</v>
      </c>
      <c r="E22" s="21" t="n">
        <v>679</v>
      </c>
      <c r="F22" s="21" t="n">
        <v>258</v>
      </c>
      <c r="G22" s="22">
        <f>D22/1000</f>
        <v/>
      </c>
      <c r="H22" s="22">
        <f>E22/1000</f>
        <v/>
      </c>
      <c r="I22" s="23">
        <f>IFERROR(D22/F22,"")</f>
        <v/>
      </c>
      <c r="J22" s="24" t="inlineStr"/>
    </row>
    <row r="23">
      <c r="A23" s="18" t="inlineStr">
        <is>
          <t>P-20</t>
        </is>
      </c>
      <c r="B23" s="19" t="n">
        <v>115.16</v>
      </c>
      <c r="C23" s="20" t="n">
        <v>4391</v>
      </c>
      <c r="D23" s="21" t="n">
        <v>3403</v>
      </c>
      <c r="E23" s="21" t="n">
        <v>1235</v>
      </c>
      <c r="F23" s="21" t="n">
        <v>1059</v>
      </c>
      <c r="G23" s="22">
        <f>D23/1000</f>
        <v/>
      </c>
      <c r="H23" s="22">
        <f>E23/1000</f>
        <v/>
      </c>
      <c r="I23" s="23">
        <f>IFERROR(D23/F23,"")</f>
        <v/>
      </c>
      <c r="J23" s="24" t="inlineStr"/>
    </row>
    <row r="24">
      <c r="A24" s="18" t="inlineStr">
        <is>
          <t>T-13</t>
        </is>
      </c>
      <c r="B24" s="19" t="n">
        <v>56.86</v>
      </c>
      <c r="C24" s="20" t="n">
        <v>4026</v>
      </c>
      <c r="D24" s="21" t="n">
        <v>3126</v>
      </c>
      <c r="E24" s="21" t="n">
        <v>1247</v>
      </c>
      <c r="F24" s="21" t="n">
        <v>308</v>
      </c>
      <c r="G24" s="22">
        <f>D24/1000</f>
        <v/>
      </c>
      <c r="H24" s="22">
        <f>E24/1000</f>
        <v/>
      </c>
      <c r="I24" s="23">
        <f>IFERROR(D24/F24,"")</f>
        <v/>
      </c>
      <c r="J24" s="24" t="inlineStr"/>
    </row>
    <row r="25">
      <c r="A25" s="18" t="inlineStr">
        <is>
          <t>T-10</t>
        </is>
      </c>
      <c r="B25" s="19" t="n">
        <v>171.85</v>
      </c>
      <c r="C25" s="20" t="n">
        <v>5764</v>
      </c>
      <c r="D25" s="21" t="n">
        <v>3033</v>
      </c>
      <c r="E25" s="21" t="n">
        <v>155</v>
      </c>
      <c r="F25" s="21" t="n">
        <v>154</v>
      </c>
      <c r="G25" s="22">
        <f>D25/1000</f>
        <v/>
      </c>
      <c r="H25" s="22">
        <f>E25/1000</f>
        <v/>
      </c>
      <c r="I25" s="23">
        <f>IFERROR(D25/F25,"")</f>
        <v/>
      </c>
      <c r="J25" s="24" t="inlineStr"/>
    </row>
    <row r="26">
      <c r="A26" s="18" t="inlineStr">
        <is>
          <t>P-17</t>
        </is>
      </c>
      <c r="B26" s="19" t="n">
        <v>113.44</v>
      </c>
      <c r="C26" s="20" t="n">
        <v>4389</v>
      </c>
      <c r="D26" s="21" t="n">
        <v>2834</v>
      </c>
      <c r="E26" s="21" t="n">
        <v>652</v>
      </c>
      <c r="F26" s="21" t="n">
        <v>240</v>
      </c>
      <c r="G26" s="22">
        <f>D26/1000</f>
        <v/>
      </c>
      <c r="H26" s="22">
        <f>E26/1000</f>
        <v/>
      </c>
      <c r="I26" s="23">
        <f>IFERROR(D26/F26,"")</f>
        <v/>
      </c>
      <c r="J26" s="24" t="inlineStr"/>
    </row>
    <row r="27">
      <c r="A27" s="18" t="inlineStr">
        <is>
          <t>T-16</t>
        </is>
      </c>
      <c r="B27" s="19" t="n">
        <v>70.63</v>
      </c>
      <c r="C27" s="20" t="n">
        <v>4030</v>
      </c>
      <c r="D27" s="21" t="n">
        <v>2748</v>
      </c>
      <c r="E27" s="21" t="n">
        <v>763</v>
      </c>
      <c r="F27" s="21" t="n">
        <v>591</v>
      </c>
      <c r="G27" s="22">
        <f>D27/1000</f>
        <v/>
      </c>
      <c r="H27" s="22">
        <f>E27/1000</f>
        <v/>
      </c>
      <c r="I27" s="23">
        <f>IFERROR(D27/F27,"")</f>
        <v/>
      </c>
      <c r="J27" s="24" t="inlineStr"/>
    </row>
    <row r="28">
      <c r="A28" s="18" t="inlineStr">
        <is>
          <t>P-16</t>
        </is>
      </c>
      <c r="B28" s="19" t="n">
        <v>94.93000000000001</v>
      </c>
      <c r="C28" s="20" t="n">
        <v>4729</v>
      </c>
      <c r="D28" s="21" t="n">
        <v>2542</v>
      </c>
      <c r="E28" s="21" t="n">
        <v>180</v>
      </c>
      <c r="F28" s="21" t="n">
        <v>179</v>
      </c>
      <c r="G28" s="22">
        <f>D28/1000</f>
        <v/>
      </c>
      <c r="H28" s="22">
        <f>E28/1000</f>
        <v/>
      </c>
      <c r="I28" s="23">
        <f>IFERROR(D28/F28,"")</f>
        <v/>
      </c>
      <c r="J28" s="24" t="inlineStr"/>
    </row>
    <row r="30">
      <c r="A30" s="25" t="inlineStr">
        <is>
          <t>TOTAL / MÁXIMO</t>
        </is>
      </c>
      <c r="B30" s="26">
        <f>SUM(B5:B28)</f>
        <v/>
      </c>
      <c r="D30" s="27">
        <f>MAX(IFERROR(D5:D28*1,0))</f>
        <v/>
      </c>
      <c r="G30" s="28">
        <f>IFERROR(MAX(G5:G28),"")</f>
        <v/>
      </c>
      <c r="I30" s="29">
        <f>IFERROR(AVERAGE(I5:I28),"")</f>
        <v/>
      </c>
    </row>
    <row r="31">
      <c r="A31" s="30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1" t="inlineStr">
        <is>
          <t>Como estes números foram calculados</t>
        </is>
      </c>
    </row>
    <row r="3" ht="30" customHeight="1">
      <c r="A3" s="32" t="inlineStr">
        <is>
          <t>Origem</t>
        </is>
      </c>
      <c r="B3" s="33" t="inlineStr">
        <is>
          <t>Ponto de sede do projeto do Google Earth (-13.759291, -58.743484).</t>
        </is>
      </c>
    </row>
    <row r="4" ht="30" customHeight="1">
      <c r="A4" s="32" t="inlineStr">
        <is>
          <t>Talhões</t>
        </is>
      </c>
      <c r="B4" s="33" t="inlineStr">
        <is>
          <t>24 polígonos da pasta FAZENDA PANAMA.</t>
        </is>
      </c>
    </row>
    <row r="5" ht="30" customHeight="1">
      <c r="A5" s="32" t="inlineStr">
        <is>
          <t>Malha de estradas</t>
        </is>
      </c>
      <c r="B5" s="33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2" t="inlineStr">
        <is>
          <t>Dist. máxima</t>
        </is>
      </c>
      <c r="B6" s="33" t="inlineStr">
        <is>
          <t>Menor caminho pela estrada, da sede até o ponto MAIS EXTREMO do perímetro do talhão. Não corta por dentro da lavoura.</t>
        </is>
      </c>
    </row>
    <row r="7" ht="30" customHeight="1">
      <c r="A7" s="32" t="inlineStr">
        <is>
          <t>Dist. mínima</t>
        </is>
      </c>
      <c r="B7" s="33" t="inlineStr">
        <is>
          <t>Menor caminho pela estrada, da sede até o ponto de acesso mais próximo.</t>
        </is>
      </c>
    </row>
    <row r="8" ht="30" customHeight="1">
      <c r="A8" s="32" t="inlineStr">
        <is>
          <t>Linha reta</t>
        </is>
      </c>
      <c r="B8" s="33" t="inlineStr">
        <is>
          <t>Distância em linha reta da sede até a borda do talhão. Só referência.</t>
        </is>
      </c>
    </row>
    <row r="9" ht="30" customHeight="1">
      <c r="A9" s="32" t="inlineStr">
        <is>
          <t>Fator</t>
        </is>
      </c>
      <c r="B9" s="33" t="inlineStr">
        <is>
          <t>Dist. máxima ÷ linha reta. Fator alto = rota indireta, ou estrada faltando na malha.</t>
        </is>
      </c>
    </row>
    <row r="10" ht="30" customHeight="1">
      <c r="A10" s="32" t="inlineStr">
        <is>
          <t>Coordenadas</t>
        </is>
      </c>
      <c r="B10" s="33" t="inlineStr">
        <is>
          <t>SIRGAS 2000 / UTM 21S (EPSG:31981) para distâncias e áreas.</t>
        </is>
      </c>
    </row>
    <row r="11" ht="30" customHeight="1">
      <c r="A11" s="32" t="inlineStr">
        <is>
          <t>Resolução</t>
        </is>
      </c>
      <c r="B11" s="33" t="inlineStr">
        <is>
          <t>Malha densificada a cada 25 m — é a precisão do 'ponto mais extremo'.</t>
        </is>
      </c>
    </row>
    <row r="12" ht="30" customHeight="1">
      <c r="A12" s="32" t="inlineStr">
        <is>
          <t>Validação</t>
        </is>
      </c>
      <c r="B12" s="33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2026-09-14T13:59:38Z</dcterms:created>
  <dcterms:modified xmlns:dcterms="http://purl.org/dc/terms/" xmlns:xsi="http://www.w3.org/2001/XMLSchema-instance" xsi:type="dcterms:W3CDTF">2026-09-14T13:59:38Z</dcterms:modified>
</cp:coreProperties>
</file>