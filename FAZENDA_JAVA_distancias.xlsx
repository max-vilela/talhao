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âncias" sheetId="1" state="visible" r:id="rId3"/>
    <sheet name="Premissa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<sst xmlns="http://schemas.openxmlformats.org/spreadsheetml/2006/main" count="154" uniqueCount="73">
  <si>
    <t xml:space="preserve">FAZENDA JAVA — distância dos talhões até a sede</t>
  </si>
  <si>
    <t xml:space="preserve">Percurso pelas estradas/carreadores, até o ponto mais extremo do talhão.</t>
  </si>
  <si>
    <t xml:space="preserve">Talhão</t>
  </si>
  <si>
    <t xml:space="preserve">Área (ha)</t>
  </si>
  <si>
    <t xml:space="preserve">Perímetro (m)</t>
  </si>
  <si>
    <t xml:space="preserve">Dist. máxima (m)</t>
  </si>
  <si>
    <t xml:space="preserve">Dist. mínima (m)</t>
  </si>
  <si>
    <t xml:space="preserve">Linha reta (m)</t>
  </si>
  <si>
    <t xml:space="preserve">Máxima (km)</t>
  </si>
  <si>
    <t xml:space="preserve">Mínima (km)</t>
  </si>
  <si>
    <t xml:space="preserve">Fator estrada/reta</t>
  </si>
  <si>
    <t xml:space="preserve">Observação</t>
  </si>
  <si>
    <t xml:space="preserve">T-01A</t>
  </si>
  <si>
    <t xml:space="preserve">T-05</t>
  </si>
  <si>
    <t xml:space="preserve">T-07C</t>
  </si>
  <si>
    <t xml:space="preserve">T-09B</t>
  </si>
  <si>
    <t xml:space="preserve">T-03A</t>
  </si>
  <si>
    <t xml:space="preserve">T-07B</t>
  </si>
  <si>
    <t xml:space="preserve">T-01</t>
  </si>
  <si>
    <t xml:space="preserve">T-09A</t>
  </si>
  <si>
    <t xml:space="preserve">T-01C</t>
  </si>
  <si>
    <t xml:space="preserve">T-07D</t>
  </si>
  <si>
    <t xml:space="preserve">T-07A</t>
  </si>
  <si>
    <t xml:space="preserve">T-03B</t>
  </si>
  <si>
    <t xml:space="preserve">T-02</t>
  </si>
  <si>
    <t xml:space="preserve">T-06D</t>
  </si>
  <si>
    <t xml:space="preserve">T-06E</t>
  </si>
  <si>
    <t xml:space="preserve">T-06B</t>
  </si>
  <si>
    <t xml:space="preserve">T-08A</t>
  </si>
  <si>
    <t xml:space="preserve">T-06C</t>
  </si>
  <si>
    <t xml:space="preserve">T-04A</t>
  </si>
  <si>
    <t xml:space="preserve">T-04B</t>
  </si>
  <si>
    <t xml:space="preserve">T-04</t>
  </si>
  <si>
    <t xml:space="preserve">T-10A</t>
  </si>
  <si>
    <t xml:space="preserve">sem acesso</t>
  </si>
  <si>
    <t xml:space="preserve">—</t>
  </si>
  <si>
    <t xml:space="preserve">sem estrada até este talhão</t>
  </si>
  <si>
    <t xml:space="preserve">T-11A</t>
  </si>
  <si>
    <t xml:space="preserve">T-11B</t>
  </si>
  <si>
    <t xml:space="preserve">T-11C</t>
  </si>
  <si>
    <t xml:space="preserve">T-11D</t>
  </si>
  <si>
    <t xml:space="preserve">T-12A</t>
  </si>
  <si>
    <t xml:space="preserve">T-13A</t>
  </si>
  <si>
    <t xml:space="preserve">T-13B</t>
  </si>
  <si>
    <t xml:space="preserve">T-13C</t>
  </si>
  <si>
    <t xml:space="preserve">T-13D</t>
  </si>
  <si>
    <t xml:space="preserve">T-14A</t>
  </si>
  <si>
    <t xml:space="preserve">T-14D</t>
  </si>
  <si>
    <t xml:space="preserve">T-15B</t>
  </si>
  <si>
    <t xml:space="preserve">T-15C</t>
  </si>
  <si>
    <t xml:space="preserve">TOTAL / MÁXIMO</t>
  </si>
  <si>
    <t xml:space="preserve">Fundo amarelo = precisa de conferência: fator ≥ 3,0, ligação suposta, ou talhão sem estrada. Veja a coluna Observação.</t>
  </si>
  <si>
    <t xml:space="preserve">Como estes números foram calculados</t>
  </si>
  <si>
    <t xml:space="preserve">Origem</t>
  </si>
  <si>
    <t xml:space="preserve">Ponto de sede do projeto do Google Earth (-13.551609, -57.613586).</t>
  </si>
  <si>
    <t xml:space="preserve">Talhões</t>
  </si>
  <si>
    <t xml:space="preserve">35 polígonos da pasta FAZENDA JAVA.</t>
  </si>
  <si>
    <t xml:space="preserve">Malha de estradas</t>
  </si>
  <si>
    <t xml:space="preserve">Divisas dos talhões (os carreadores correm nas divisas), costuradas onde talhões vizinhos são separados pela faixa do carreador (até 45 m), mais as estradas de dados/estradas_extra.json.</t>
  </si>
  <si>
    <t xml:space="preserve">Dist. máxima</t>
  </si>
  <si>
    <t xml:space="preserve">Menor caminho pela estrada, da sede até o ponto MAIS EXTREMO do perímetro do talhão. Não corta por dentro da lavoura.</t>
  </si>
  <si>
    <t xml:space="preserve">Dist. mínima</t>
  </si>
  <si>
    <t xml:space="preserve">Menor caminho pela estrada, da sede até o ponto de acesso mais próximo.</t>
  </si>
  <si>
    <t xml:space="preserve">Linha reta</t>
  </si>
  <si>
    <t xml:space="preserve">Distância em linha reta da sede até a borda do talhão. Só referência.</t>
  </si>
  <si>
    <t xml:space="preserve">Fator</t>
  </si>
  <si>
    <t xml:space="preserve">Dist. máxima ÷ linha reta. Fator alto = rota indireta, ou estrada faltando na malha.</t>
  </si>
  <si>
    <t xml:space="preserve">Coordenadas</t>
  </si>
  <si>
    <t xml:space="preserve">SIRGAS 2000 / UTM 21S (EPSG:31981) para distâncias e áreas.</t>
  </si>
  <si>
    <t xml:space="preserve">Resolução</t>
  </si>
  <si>
    <t xml:space="preserve">Malha densificada a cada 25 m — é a precisão do 'ponto mais extremo'.</t>
  </si>
  <si>
    <t xml:space="preserve">Validação</t>
  </si>
  <si>
    <t xml:space="preserve">A malha precisa ser conferida por quem roda a fazenda. Use o arquivo _bancada.html.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</si>
</sst>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#,##0"/>
    <numFmt numFmtId="167" formatCode="#,##0.00"/>
    <numFmt numFmtId="168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3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7"/>
    <col collapsed="false" customWidth="true" hidden="false" outlineLevel="0" max="10" min="10" style="0" width="3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15" hidden="false" customHeight="false" outlineLevel="0" collapsed="false">
      <c r="A5" s="4" t="s">
        <v>12</v>
      </c>
      <c r="B5" s="5" t="n">
        <v>109.74</v>
      </c>
      <c r="C5" s="6" t="n">
        <v>5134</v>
      </c>
      <c r="D5" s="7" t="n">
        <v>6695</v>
      </c>
      <c r="E5" s="7" t="n">
        <v>4138</v>
      </c>
      <c r="F5" s="7" t="n">
        <v>3555</v>
      </c>
      <c r="G5" s="8" t="n">
        <f aca="false">D5/1000</f>
        <v>6.695</v>
      </c>
      <c r="H5" s="8" t="n">
        <f aca="false">E5/1000</f>
        <v>4.138</v>
      </c>
      <c r="I5" s="9" t="n">
        <f aca="false">IFERROR(D5/F5,"")</f>
        <v>1.88326300984529</v>
      </c>
      <c r="J5" s="10"/>
    </row>
    <row r="6" customFormat="false" ht="15" hidden="false" customHeight="false" outlineLevel="0" collapsed="false">
      <c r="A6" s="11" t="s">
        <v>13</v>
      </c>
      <c r="B6" s="12" t="n">
        <v>114.01</v>
      </c>
      <c r="C6" s="13" t="n">
        <v>5071</v>
      </c>
      <c r="D6" s="14" t="n">
        <v>6405</v>
      </c>
      <c r="E6" s="14" t="n">
        <v>3949</v>
      </c>
      <c r="F6" s="14" t="n">
        <v>2084</v>
      </c>
      <c r="G6" s="15" t="n">
        <f aca="false">D6/1000</f>
        <v>6.405</v>
      </c>
      <c r="H6" s="15" t="n">
        <f aca="false">E6/1000</f>
        <v>3.949</v>
      </c>
      <c r="I6" s="16" t="n">
        <f aca="false">IFERROR(D6/F6,"")</f>
        <v>3.07341650671785</v>
      </c>
      <c r="J6" s="17"/>
    </row>
    <row r="7" customFormat="false" ht="15" hidden="false" customHeight="false" outlineLevel="0" collapsed="false">
      <c r="A7" s="11" t="s">
        <v>14</v>
      </c>
      <c r="B7" s="12" t="n">
        <v>54.78</v>
      </c>
      <c r="C7" s="13" t="n">
        <v>3399</v>
      </c>
      <c r="D7" s="14" t="n">
        <v>6351</v>
      </c>
      <c r="E7" s="14" t="n">
        <v>4680</v>
      </c>
      <c r="F7" s="14" t="n">
        <v>2115</v>
      </c>
      <c r="G7" s="15" t="n">
        <f aca="false">D7/1000</f>
        <v>6.351</v>
      </c>
      <c r="H7" s="15" t="n">
        <f aca="false">E7/1000</f>
        <v>4.68</v>
      </c>
      <c r="I7" s="16" t="n">
        <f aca="false">IFERROR(D7/F7,"")</f>
        <v>3.00283687943262</v>
      </c>
      <c r="J7" s="17"/>
    </row>
    <row r="8" customFormat="false" ht="15" hidden="false" customHeight="false" outlineLevel="0" collapsed="false">
      <c r="A8" s="18" t="s">
        <v>15</v>
      </c>
      <c r="B8" s="19" t="n">
        <v>51.45</v>
      </c>
      <c r="C8" s="20" t="n">
        <v>3530</v>
      </c>
      <c r="D8" s="21" t="n">
        <v>6232</v>
      </c>
      <c r="E8" s="21" t="n">
        <v>4529</v>
      </c>
      <c r="F8" s="21" t="n">
        <v>2736</v>
      </c>
      <c r="G8" s="22" t="n">
        <f aca="false">D8/1000</f>
        <v>6.232</v>
      </c>
      <c r="H8" s="22" t="n">
        <f aca="false">E8/1000</f>
        <v>4.529</v>
      </c>
      <c r="I8" s="23" t="n">
        <f aca="false">IFERROR(D8/F8,"")</f>
        <v>2.27777777777778</v>
      </c>
      <c r="J8" s="24"/>
    </row>
    <row r="9" customFormat="false" ht="15" hidden="false" customHeight="false" outlineLevel="0" collapsed="false">
      <c r="A9" s="4" t="s">
        <v>16</v>
      </c>
      <c r="B9" s="5" t="n">
        <v>108.06</v>
      </c>
      <c r="C9" s="6" t="n">
        <v>5283</v>
      </c>
      <c r="D9" s="7" t="n">
        <v>5885</v>
      </c>
      <c r="E9" s="7" t="n">
        <v>3953</v>
      </c>
      <c r="F9" s="7" t="n">
        <v>2445</v>
      </c>
      <c r="G9" s="8" t="n">
        <f aca="false">D9/1000</f>
        <v>5.885</v>
      </c>
      <c r="H9" s="8" t="n">
        <f aca="false">E9/1000</f>
        <v>3.953</v>
      </c>
      <c r="I9" s="9" t="n">
        <f aca="false">IFERROR(D9/F9,"")</f>
        <v>2.40695296523517</v>
      </c>
      <c r="J9" s="10"/>
    </row>
    <row r="10" customFormat="false" ht="15" hidden="false" customHeight="false" outlineLevel="0" collapsed="false">
      <c r="A10" s="18" t="s">
        <v>17</v>
      </c>
      <c r="B10" s="19" t="n">
        <v>63.94</v>
      </c>
      <c r="C10" s="20" t="n">
        <v>3736</v>
      </c>
      <c r="D10" s="21" t="n">
        <v>5881</v>
      </c>
      <c r="E10" s="21" t="n">
        <v>4329</v>
      </c>
      <c r="F10" s="21" t="n">
        <v>2244</v>
      </c>
      <c r="G10" s="22" t="n">
        <f aca="false">D10/1000</f>
        <v>5.881</v>
      </c>
      <c r="H10" s="22" t="n">
        <f aca="false">E10/1000</f>
        <v>4.329</v>
      </c>
      <c r="I10" s="23" t="n">
        <f aca="false">IFERROR(D10/F10,"")</f>
        <v>2.62076648841355</v>
      </c>
      <c r="J10" s="24"/>
    </row>
    <row r="11" customFormat="false" ht="15" hidden="false" customHeight="false" outlineLevel="0" collapsed="false">
      <c r="A11" s="4" t="s">
        <v>18</v>
      </c>
      <c r="B11" s="5" t="n">
        <v>110.23</v>
      </c>
      <c r="C11" s="6" t="n">
        <v>5065</v>
      </c>
      <c r="D11" s="7" t="n">
        <v>5740</v>
      </c>
      <c r="E11" s="7" t="n">
        <v>3218</v>
      </c>
      <c r="F11" s="7" t="n">
        <v>2669</v>
      </c>
      <c r="G11" s="8" t="n">
        <f aca="false">D11/1000</f>
        <v>5.74</v>
      </c>
      <c r="H11" s="8" t="n">
        <f aca="false">E11/1000</f>
        <v>3.218</v>
      </c>
      <c r="I11" s="9" t="n">
        <f aca="false">IFERROR(D11/F11,"")</f>
        <v>2.15061820906707</v>
      </c>
      <c r="J11" s="10"/>
    </row>
    <row r="12" customFormat="false" ht="15" hidden="false" customHeight="false" outlineLevel="0" collapsed="false">
      <c r="A12" s="18" t="s">
        <v>19</v>
      </c>
      <c r="B12" s="19" t="n">
        <v>51.15</v>
      </c>
      <c r="C12" s="20" t="n">
        <v>3147</v>
      </c>
      <c r="D12" s="21" t="n">
        <v>5597</v>
      </c>
      <c r="E12" s="21" t="n">
        <v>4041</v>
      </c>
      <c r="F12" s="21" t="n">
        <v>2720</v>
      </c>
      <c r="G12" s="22" t="n">
        <f aca="false">D12/1000</f>
        <v>5.597</v>
      </c>
      <c r="H12" s="22" t="n">
        <f aca="false">E12/1000</f>
        <v>4.041</v>
      </c>
      <c r="I12" s="23" t="n">
        <f aca="false">IFERROR(D12/F12,"")</f>
        <v>2.05772058823529</v>
      </c>
      <c r="J12" s="24"/>
    </row>
    <row r="13" customFormat="false" ht="15" hidden="false" customHeight="false" outlineLevel="0" collapsed="false">
      <c r="A13" s="11" t="s">
        <v>20</v>
      </c>
      <c r="B13" s="12" t="n">
        <v>114.58</v>
      </c>
      <c r="C13" s="13" t="n">
        <v>5085</v>
      </c>
      <c r="D13" s="14" t="n">
        <v>5389</v>
      </c>
      <c r="E13" s="14" t="n">
        <v>2983</v>
      </c>
      <c r="F13" s="14" t="n">
        <v>1346</v>
      </c>
      <c r="G13" s="15" t="n">
        <f aca="false">D13/1000</f>
        <v>5.389</v>
      </c>
      <c r="H13" s="15" t="n">
        <f aca="false">E13/1000</f>
        <v>2.983</v>
      </c>
      <c r="I13" s="16" t="n">
        <f aca="false">IFERROR(D13/F13,"")</f>
        <v>4.0037147102526</v>
      </c>
      <c r="J13" s="17"/>
    </row>
    <row r="14" customFormat="false" ht="15" hidden="false" customHeight="false" outlineLevel="0" collapsed="false">
      <c r="A14" s="11" t="s">
        <v>21</v>
      </c>
      <c r="B14" s="12" t="n">
        <v>43.25</v>
      </c>
      <c r="C14" s="13" t="n">
        <v>3108</v>
      </c>
      <c r="D14" s="14" t="n">
        <v>5336</v>
      </c>
      <c r="E14" s="14" t="n">
        <v>3804</v>
      </c>
      <c r="F14" s="14" t="n">
        <v>1623</v>
      </c>
      <c r="G14" s="15" t="n">
        <f aca="false">D14/1000</f>
        <v>5.336</v>
      </c>
      <c r="H14" s="15" t="n">
        <f aca="false">E14/1000</f>
        <v>3.804</v>
      </c>
      <c r="I14" s="16" t="n">
        <f aca="false">IFERROR(D14/F14,"")</f>
        <v>3.28773875539125</v>
      </c>
      <c r="J14" s="17"/>
    </row>
    <row r="15" customFormat="false" ht="15" hidden="false" customHeight="false" outlineLevel="0" collapsed="false">
      <c r="A15" s="4" t="s">
        <v>22</v>
      </c>
      <c r="B15" s="5" t="n">
        <v>50.64</v>
      </c>
      <c r="C15" s="6" t="n">
        <v>3002</v>
      </c>
      <c r="D15" s="7" t="n">
        <v>4917</v>
      </c>
      <c r="E15" s="7" t="n">
        <v>3633</v>
      </c>
      <c r="F15" s="7" t="n">
        <v>1983</v>
      </c>
      <c r="G15" s="8" t="n">
        <f aca="false">D15/1000</f>
        <v>4.917</v>
      </c>
      <c r="H15" s="8" t="n">
        <f aca="false">E15/1000</f>
        <v>3.633</v>
      </c>
      <c r="I15" s="9" t="n">
        <f aca="false">IFERROR(D15/F15,"")</f>
        <v>2.47957639939486</v>
      </c>
      <c r="J15" s="10"/>
    </row>
    <row r="16" customFormat="false" ht="15" hidden="false" customHeight="false" outlineLevel="0" collapsed="false">
      <c r="A16" s="11" t="s">
        <v>23</v>
      </c>
      <c r="B16" s="12" t="n">
        <v>113.04</v>
      </c>
      <c r="C16" s="13" t="n">
        <v>5041</v>
      </c>
      <c r="D16" s="14" t="n">
        <v>4810</v>
      </c>
      <c r="E16" s="14" t="n">
        <v>2998</v>
      </c>
      <c r="F16" s="14" t="n">
        <v>1508</v>
      </c>
      <c r="G16" s="15" t="n">
        <f aca="false">D16/1000</f>
        <v>4.81</v>
      </c>
      <c r="H16" s="15" t="n">
        <f aca="false">E16/1000</f>
        <v>2.998</v>
      </c>
      <c r="I16" s="16" t="n">
        <f aca="false">IFERROR(D16/F16,"")</f>
        <v>3.18965517241379</v>
      </c>
      <c r="J16" s="17"/>
    </row>
    <row r="17" customFormat="false" ht="15" hidden="false" customHeight="false" outlineLevel="0" collapsed="false">
      <c r="A17" s="11" t="s">
        <v>24</v>
      </c>
      <c r="B17" s="12" t="n">
        <v>210.74</v>
      </c>
      <c r="C17" s="13" t="n">
        <v>9468</v>
      </c>
      <c r="D17" s="14" t="n">
        <v>4707</v>
      </c>
      <c r="E17" s="14" t="n">
        <v>1223</v>
      </c>
      <c r="F17" s="14" t="n">
        <v>976</v>
      </c>
      <c r="G17" s="15" t="n">
        <f aca="false">D17/1000</f>
        <v>4.707</v>
      </c>
      <c r="H17" s="15" t="n">
        <f aca="false">E17/1000</f>
        <v>1.223</v>
      </c>
      <c r="I17" s="16" t="n">
        <f aca="false">IFERROR(D17/F17,"")</f>
        <v>4.82274590163934</v>
      </c>
      <c r="J17" s="17"/>
    </row>
    <row r="18" customFormat="false" ht="15" hidden="false" customHeight="false" outlineLevel="0" collapsed="false">
      <c r="A18" s="11" t="s">
        <v>25</v>
      </c>
      <c r="B18" s="12" t="n">
        <v>148.91</v>
      </c>
      <c r="C18" s="13" t="n">
        <v>5858</v>
      </c>
      <c r="D18" s="14" t="n">
        <v>4359</v>
      </c>
      <c r="E18" s="14" t="n">
        <v>2016</v>
      </c>
      <c r="F18" s="14" t="n">
        <v>617</v>
      </c>
      <c r="G18" s="15" t="n">
        <f aca="false">D18/1000</f>
        <v>4.359</v>
      </c>
      <c r="H18" s="15" t="n">
        <f aca="false">E18/1000</f>
        <v>2.016</v>
      </c>
      <c r="I18" s="16" t="n">
        <f aca="false">IFERROR(D18/F18,"")</f>
        <v>7.06482982171799</v>
      </c>
      <c r="J18" s="17"/>
    </row>
    <row r="19" customFormat="false" ht="15" hidden="false" customHeight="false" outlineLevel="0" collapsed="false">
      <c r="A19" s="11" t="s">
        <v>26</v>
      </c>
      <c r="B19" s="12" t="n">
        <v>264.72</v>
      </c>
      <c r="C19" s="13" t="n">
        <v>6929</v>
      </c>
      <c r="D19" s="14" t="n">
        <v>4353</v>
      </c>
      <c r="E19" s="14" t="n">
        <v>986</v>
      </c>
      <c r="F19" s="14" t="n">
        <v>399</v>
      </c>
      <c r="G19" s="15" t="n">
        <f aca="false">D19/1000</f>
        <v>4.353</v>
      </c>
      <c r="H19" s="15" t="n">
        <f aca="false">E19/1000</f>
        <v>0.986</v>
      </c>
      <c r="I19" s="16" t="n">
        <f aca="false">IFERROR(D19/F19,"")</f>
        <v>10.9097744360902</v>
      </c>
      <c r="J19" s="17"/>
    </row>
    <row r="20" customFormat="false" ht="15" hidden="false" customHeight="false" outlineLevel="0" collapsed="false">
      <c r="A20" s="11" t="s">
        <v>27</v>
      </c>
      <c r="B20" s="12" t="n">
        <v>73.88</v>
      </c>
      <c r="C20" s="13" t="n">
        <v>4134</v>
      </c>
      <c r="D20" s="14" t="n">
        <v>4319</v>
      </c>
      <c r="E20" s="14" t="n">
        <v>2888</v>
      </c>
      <c r="F20" s="14" t="n">
        <v>1134</v>
      </c>
      <c r="G20" s="15" t="n">
        <f aca="false">D20/1000</f>
        <v>4.319</v>
      </c>
      <c r="H20" s="15" t="n">
        <f aca="false">E20/1000</f>
        <v>2.888</v>
      </c>
      <c r="I20" s="16" t="n">
        <f aca="false">IFERROR(D20/F20,"")</f>
        <v>3.80864197530864</v>
      </c>
      <c r="J20" s="17"/>
    </row>
    <row r="21" customFormat="false" ht="15" hidden="false" customHeight="false" outlineLevel="0" collapsed="false">
      <c r="A21" s="4" t="s">
        <v>28</v>
      </c>
      <c r="B21" s="5" t="n">
        <v>14.18</v>
      </c>
      <c r="C21" s="6" t="n">
        <v>1756</v>
      </c>
      <c r="D21" s="7" t="n">
        <v>3961</v>
      </c>
      <c r="E21" s="7" t="n">
        <v>3089</v>
      </c>
      <c r="F21" s="7" t="n">
        <v>1985</v>
      </c>
      <c r="G21" s="8" t="n">
        <f aca="false">D21/1000</f>
        <v>3.961</v>
      </c>
      <c r="H21" s="8" t="n">
        <f aca="false">E21/1000</f>
        <v>3.089</v>
      </c>
      <c r="I21" s="9" t="n">
        <f aca="false">IFERROR(D21/F21,"")</f>
        <v>1.99546599496222</v>
      </c>
      <c r="J21" s="10"/>
    </row>
    <row r="22" customFormat="false" ht="15" hidden="false" customHeight="false" outlineLevel="0" collapsed="false">
      <c r="A22" s="11" t="s">
        <v>29</v>
      </c>
      <c r="B22" s="12" t="n">
        <v>31.74</v>
      </c>
      <c r="C22" s="13" t="n">
        <v>2739</v>
      </c>
      <c r="D22" s="14" t="n">
        <v>3951</v>
      </c>
      <c r="E22" s="14" t="n">
        <v>2588</v>
      </c>
      <c r="F22" s="14" t="n">
        <v>826</v>
      </c>
      <c r="G22" s="15" t="n">
        <f aca="false">D22/1000</f>
        <v>3.951</v>
      </c>
      <c r="H22" s="15" t="n">
        <f aca="false">E22/1000</f>
        <v>2.588</v>
      </c>
      <c r="I22" s="16" t="n">
        <f aca="false">IFERROR(D22/F22,"")</f>
        <v>4.78329297820823</v>
      </c>
      <c r="J22" s="17"/>
    </row>
    <row r="23" customFormat="false" ht="15" hidden="false" customHeight="false" outlineLevel="0" collapsed="false">
      <c r="A23" s="11" t="s">
        <v>30</v>
      </c>
      <c r="B23" s="12" t="n">
        <v>100.42</v>
      </c>
      <c r="C23" s="13" t="n">
        <v>5093</v>
      </c>
      <c r="D23" s="14" t="n">
        <v>3851</v>
      </c>
      <c r="E23" s="14" t="n">
        <v>2036</v>
      </c>
      <c r="F23" s="14" t="n">
        <v>615</v>
      </c>
      <c r="G23" s="15" t="n">
        <f aca="false">D23/1000</f>
        <v>3.851</v>
      </c>
      <c r="H23" s="15" t="n">
        <f aca="false">E23/1000</f>
        <v>2.036</v>
      </c>
      <c r="I23" s="16" t="n">
        <f aca="false">IFERROR(D23/F23,"")</f>
        <v>6.26178861788618</v>
      </c>
      <c r="J23" s="17"/>
    </row>
    <row r="24" customFormat="false" ht="15" hidden="false" customHeight="false" outlineLevel="0" collapsed="false">
      <c r="A24" s="11" t="s">
        <v>31</v>
      </c>
      <c r="B24" s="12" t="n">
        <v>51.93</v>
      </c>
      <c r="C24" s="13" t="n">
        <v>3411</v>
      </c>
      <c r="D24" s="14" t="n">
        <v>3716</v>
      </c>
      <c r="E24" s="14" t="n">
        <v>2033</v>
      </c>
      <c r="F24" s="14" t="n">
        <v>632</v>
      </c>
      <c r="G24" s="15" t="n">
        <f aca="false">D24/1000</f>
        <v>3.716</v>
      </c>
      <c r="H24" s="15" t="n">
        <f aca="false">E24/1000</f>
        <v>2.033</v>
      </c>
      <c r="I24" s="16" t="n">
        <f aca="false">IFERROR(D24/F24,"")</f>
        <v>5.87974683544304</v>
      </c>
      <c r="J24" s="17"/>
    </row>
    <row r="25" customFormat="false" ht="15" hidden="false" customHeight="false" outlineLevel="0" collapsed="false">
      <c r="A25" s="11" t="s">
        <v>32</v>
      </c>
      <c r="B25" s="12" t="n">
        <v>107.45</v>
      </c>
      <c r="C25" s="13" t="n">
        <v>5565</v>
      </c>
      <c r="D25" s="14" t="n">
        <v>2864</v>
      </c>
      <c r="E25" s="14" t="n">
        <v>97</v>
      </c>
      <c r="F25" s="14" t="n">
        <v>96</v>
      </c>
      <c r="G25" s="15" t="n">
        <f aca="false">D25/1000</f>
        <v>2.864</v>
      </c>
      <c r="H25" s="15" t="n">
        <f aca="false">E25/1000</f>
        <v>0.097</v>
      </c>
      <c r="I25" s="16" t="n">
        <f aca="false">IFERROR(D25/F25,"")</f>
        <v>29.8333333333333</v>
      </c>
      <c r="J25" s="17"/>
    </row>
    <row r="26" customFormat="false" ht="15" hidden="false" customHeight="false" outlineLevel="0" collapsed="false">
      <c r="A26" s="11" t="s">
        <v>33</v>
      </c>
      <c r="B26" s="12" t="n">
        <v>67.82</v>
      </c>
      <c r="C26" s="13" t="n">
        <v>4140</v>
      </c>
      <c r="D26" s="25" t="s">
        <v>34</v>
      </c>
      <c r="E26" s="25" t="s">
        <v>34</v>
      </c>
      <c r="F26" s="14" t="n">
        <v>6205</v>
      </c>
      <c r="G26" s="26" t="s">
        <v>35</v>
      </c>
      <c r="H26" s="26" t="s">
        <v>35</v>
      </c>
      <c r="I26" s="27" t="s">
        <v>35</v>
      </c>
      <c r="J26" s="28" t="s">
        <v>36</v>
      </c>
    </row>
    <row r="27" customFormat="false" ht="15" hidden="false" customHeight="false" outlineLevel="0" collapsed="false">
      <c r="A27" s="11" t="s">
        <v>37</v>
      </c>
      <c r="B27" s="12" t="n">
        <v>61.24</v>
      </c>
      <c r="C27" s="13" t="n">
        <v>3271</v>
      </c>
      <c r="D27" s="25" t="s">
        <v>34</v>
      </c>
      <c r="E27" s="25" t="s">
        <v>34</v>
      </c>
      <c r="F27" s="14" t="n">
        <v>6767</v>
      </c>
      <c r="G27" s="26" t="s">
        <v>35</v>
      </c>
      <c r="H27" s="26" t="s">
        <v>35</v>
      </c>
      <c r="I27" s="27" t="s">
        <v>35</v>
      </c>
      <c r="J27" s="28" t="s">
        <v>36</v>
      </c>
    </row>
    <row r="28" customFormat="false" ht="15" hidden="false" customHeight="false" outlineLevel="0" collapsed="false">
      <c r="A28" s="11" t="s">
        <v>38</v>
      </c>
      <c r="B28" s="12" t="n">
        <v>46.69</v>
      </c>
      <c r="C28" s="13" t="n">
        <v>3078</v>
      </c>
      <c r="D28" s="25" t="s">
        <v>34</v>
      </c>
      <c r="E28" s="25" t="s">
        <v>34</v>
      </c>
      <c r="F28" s="14" t="n">
        <v>5995</v>
      </c>
      <c r="G28" s="26" t="s">
        <v>35</v>
      </c>
      <c r="H28" s="26" t="s">
        <v>35</v>
      </c>
      <c r="I28" s="27" t="s">
        <v>35</v>
      </c>
      <c r="J28" s="28" t="s">
        <v>36</v>
      </c>
    </row>
    <row r="29" customFormat="false" ht="15" hidden="false" customHeight="false" outlineLevel="0" collapsed="false">
      <c r="A29" s="11" t="s">
        <v>39</v>
      </c>
      <c r="B29" s="12" t="n">
        <v>52.01</v>
      </c>
      <c r="C29" s="13" t="n">
        <v>3100</v>
      </c>
      <c r="D29" s="25" t="s">
        <v>34</v>
      </c>
      <c r="E29" s="25" t="s">
        <v>34</v>
      </c>
      <c r="F29" s="14" t="n">
        <v>5662</v>
      </c>
      <c r="G29" s="26" t="s">
        <v>35</v>
      </c>
      <c r="H29" s="26" t="s">
        <v>35</v>
      </c>
      <c r="I29" s="27" t="s">
        <v>35</v>
      </c>
      <c r="J29" s="28" t="s">
        <v>36</v>
      </c>
    </row>
    <row r="30" customFormat="false" ht="15" hidden="false" customHeight="false" outlineLevel="0" collapsed="false">
      <c r="A30" s="11" t="s">
        <v>40</v>
      </c>
      <c r="B30" s="12" t="n">
        <v>70.47</v>
      </c>
      <c r="C30" s="13" t="n">
        <v>3481</v>
      </c>
      <c r="D30" s="25" t="s">
        <v>34</v>
      </c>
      <c r="E30" s="25" t="s">
        <v>34</v>
      </c>
      <c r="F30" s="14" t="n">
        <v>6319</v>
      </c>
      <c r="G30" s="26" t="s">
        <v>35</v>
      </c>
      <c r="H30" s="26" t="s">
        <v>35</v>
      </c>
      <c r="I30" s="27" t="s">
        <v>35</v>
      </c>
      <c r="J30" s="28" t="s">
        <v>36</v>
      </c>
    </row>
    <row r="31" customFormat="false" ht="15" hidden="false" customHeight="false" outlineLevel="0" collapsed="false">
      <c r="A31" s="11" t="s">
        <v>41</v>
      </c>
      <c r="B31" s="12" t="n">
        <v>263.78</v>
      </c>
      <c r="C31" s="13" t="n">
        <v>6934</v>
      </c>
      <c r="D31" s="25" t="s">
        <v>34</v>
      </c>
      <c r="E31" s="25" t="s">
        <v>34</v>
      </c>
      <c r="F31" s="14" t="n">
        <v>6449</v>
      </c>
      <c r="G31" s="26" t="s">
        <v>35</v>
      </c>
      <c r="H31" s="26" t="s">
        <v>35</v>
      </c>
      <c r="I31" s="27" t="s">
        <v>35</v>
      </c>
      <c r="J31" s="28" t="s">
        <v>36</v>
      </c>
    </row>
    <row r="32" customFormat="false" ht="15" hidden="false" customHeight="false" outlineLevel="0" collapsed="false">
      <c r="A32" s="11" t="s">
        <v>42</v>
      </c>
      <c r="B32" s="12" t="n">
        <v>53.65</v>
      </c>
      <c r="C32" s="13" t="n">
        <v>3197</v>
      </c>
      <c r="D32" s="25" t="s">
        <v>34</v>
      </c>
      <c r="E32" s="25" t="s">
        <v>34</v>
      </c>
      <c r="F32" s="14" t="n">
        <v>7258</v>
      </c>
      <c r="G32" s="26" t="s">
        <v>35</v>
      </c>
      <c r="H32" s="26" t="s">
        <v>35</v>
      </c>
      <c r="I32" s="27" t="s">
        <v>35</v>
      </c>
      <c r="J32" s="28" t="s">
        <v>36</v>
      </c>
    </row>
    <row r="33" customFormat="false" ht="15" hidden="false" customHeight="false" outlineLevel="0" collapsed="false">
      <c r="A33" s="11" t="s">
        <v>43</v>
      </c>
      <c r="B33" s="12" t="n">
        <v>58.52</v>
      </c>
      <c r="C33" s="13" t="n">
        <v>3110</v>
      </c>
      <c r="D33" s="25" t="s">
        <v>34</v>
      </c>
      <c r="E33" s="25" t="s">
        <v>34</v>
      </c>
      <c r="F33" s="14" t="n">
        <v>7804</v>
      </c>
      <c r="G33" s="26" t="s">
        <v>35</v>
      </c>
      <c r="H33" s="26" t="s">
        <v>35</v>
      </c>
      <c r="I33" s="27" t="s">
        <v>35</v>
      </c>
      <c r="J33" s="28" t="s">
        <v>36</v>
      </c>
    </row>
    <row r="34" customFormat="false" ht="15" hidden="false" customHeight="false" outlineLevel="0" collapsed="false">
      <c r="A34" s="11" t="s">
        <v>44</v>
      </c>
      <c r="B34" s="12" t="n">
        <v>54.2</v>
      </c>
      <c r="C34" s="13" t="n">
        <v>2992</v>
      </c>
      <c r="D34" s="25" t="s">
        <v>34</v>
      </c>
      <c r="E34" s="25" t="s">
        <v>34</v>
      </c>
      <c r="F34" s="14" t="n">
        <v>8271</v>
      </c>
      <c r="G34" s="26" t="s">
        <v>35</v>
      </c>
      <c r="H34" s="26" t="s">
        <v>35</v>
      </c>
      <c r="I34" s="27" t="s">
        <v>35</v>
      </c>
      <c r="J34" s="28" t="s">
        <v>36</v>
      </c>
    </row>
    <row r="35" customFormat="false" ht="15" hidden="false" customHeight="false" outlineLevel="0" collapsed="false">
      <c r="A35" s="11" t="s">
        <v>45</v>
      </c>
      <c r="B35" s="12" t="n">
        <v>61.56</v>
      </c>
      <c r="C35" s="13" t="n">
        <v>3161</v>
      </c>
      <c r="D35" s="25" t="s">
        <v>34</v>
      </c>
      <c r="E35" s="25" t="s">
        <v>34</v>
      </c>
      <c r="F35" s="14" t="n">
        <v>7589</v>
      </c>
      <c r="G35" s="26" t="s">
        <v>35</v>
      </c>
      <c r="H35" s="26" t="s">
        <v>35</v>
      </c>
      <c r="I35" s="27" t="s">
        <v>35</v>
      </c>
      <c r="J35" s="28" t="s">
        <v>36</v>
      </c>
    </row>
    <row r="36" customFormat="false" ht="15" hidden="false" customHeight="false" outlineLevel="0" collapsed="false">
      <c r="A36" s="11" t="s">
        <v>46</v>
      </c>
      <c r="B36" s="12" t="n">
        <v>99.15</v>
      </c>
      <c r="C36" s="13" t="n">
        <v>4640</v>
      </c>
      <c r="D36" s="25" t="s">
        <v>34</v>
      </c>
      <c r="E36" s="25" t="s">
        <v>34</v>
      </c>
      <c r="F36" s="14" t="n">
        <v>5179</v>
      </c>
      <c r="G36" s="26" t="s">
        <v>35</v>
      </c>
      <c r="H36" s="26" t="s">
        <v>35</v>
      </c>
      <c r="I36" s="27" t="s">
        <v>35</v>
      </c>
      <c r="J36" s="28" t="s">
        <v>36</v>
      </c>
    </row>
    <row r="37" customFormat="false" ht="15" hidden="false" customHeight="false" outlineLevel="0" collapsed="false">
      <c r="A37" s="11" t="s">
        <v>47</v>
      </c>
      <c r="B37" s="12" t="n">
        <v>96.37</v>
      </c>
      <c r="C37" s="13" t="n">
        <v>4536</v>
      </c>
      <c r="D37" s="25" t="s">
        <v>34</v>
      </c>
      <c r="E37" s="25" t="s">
        <v>34</v>
      </c>
      <c r="F37" s="14" t="n">
        <v>5221</v>
      </c>
      <c r="G37" s="26" t="s">
        <v>35</v>
      </c>
      <c r="H37" s="26" t="s">
        <v>35</v>
      </c>
      <c r="I37" s="27" t="s">
        <v>35</v>
      </c>
      <c r="J37" s="28" t="s">
        <v>36</v>
      </c>
    </row>
    <row r="38" customFormat="false" ht="15" hidden="false" customHeight="false" outlineLevel="0" collapsed="false">
      <c r="A38" s="11" t="s">
        <v>48</v>
      </c>
      <c r="B38" s="12" t="n">
        <v>143</v>
      </c>
      <c r="C38" s="13" t="n">
        <v>5499</v>
      </c>
      <c r="D38" s="25" t="s">
        <v>34</v>
      </c>
      <c r="E38" s="25" t="s">
        <v>34</v>
      </c>
      <c r="F38" s="14" t="n">
        <v>3994</v>
      </c>
      <c r="G38" s="26" t="s">
        <v>35</v>
      </c>
      <c r="H38" s="26" t="s">
        <v>35</v>
      </c>
      <c r="I38" s="27" t="s">
        <v>35</v>
      </c>
      <c r="J38" s="28" t="s">
        <v>36</v>
      </c>
    </row>
    <row r="39" customFormat="false" ht="15" hidden="false" customHeight="false" outlineLevel="0" collapsed="false">
      <c r="A39" s="11" t="s">
        <v>49</v>
      </c>
      <c r="B39" s="12" t="n">
        <v>95.86</v>
      </c>
      <c r="C39" s="13" t="n">
        <v>4455</v>
      </c>
      <c r="D39" s="25" t="s">
        <v>34</v>
      </c>
      <c r="E39" s="25" t="s">
        <v>34</v>
      </c>
      <c r="F39" s="14" t="n">
        <v>3761</v>
      </c>
      <c r="G39" s="26" t="s">
        <v>35</v>
      </c>
      <c r="H39" s="26" t="s">
        <v>35</v>
      </c>
      <c r="I39" s="27" t="s">
        <v>35</v>
      </c>
      <c r="J39" s="28" t="s">
        <v>36</v>
      </c>
    </row>
    <row r="41" customFormat="false" ht="15" hidden="false" customHeight="false" outlineLevel="0" collapsed="false">
      <c r="A41" s="29" t="s">
        <v>50</v>
      </c>
      <c r="B41" s="30" t="n">
        <f aca="false">SUM(B5:B39)</f>
        <v>3213.16</v>
      </c>
      <c r="D41" s="31" t="n">
        <f aca="false">MAX(IFERROR(D5:D39*1,0))</f>
        <v>0</v>
      </c>
      <c r="G41" s="32" t="n">
        <f aca="false">IFERROR(MAX(G5:G39),"")</f>
        <v>6.695</v>
      </c>
      <c r="I41" s="33" t="n">
        <f aca="false">IFERROR(AVERAGE(I5:I39),"")</f>
        <v>5.13303130270316</v>
      </c>
    </row>
    <row r="42" customFormat="false" ht="15" hidden="false" customHeight="false" outlineLevel="0" collapsed="false">
      <c r="A42" s="34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5"/>
  </cols>
  <sheetData>
    <row r="1" customFormat="false" ht="16.15" hidden="false" customHeight="false" outlineLevel="0" collapsed="false">
      <c r="A1" s="35" t="s">
        <v>52</v>
      </c>
    </row>
    <row r="3" customFormat="false" ht="30" hidden="false" customHeight="true" outlineLevel="0" collapsed="false">
      <c r="A3" s="36" t="s">
        <v>53</v>
      </c>
      <c r="B3" s="37" t="s">
        <v>54</v>
      </c>
    </row>
    <row r="4" customFormat="false" ht="30" hidden="false" customHeight="true" outlineLevel="0" collapsed="false">
      <c r="A4" s="36" t="s">
        <v>55</v>
      </c>
      <c r="B4" s="37" t="s">
        <v>56</v>
      </c>
    </row>
    <row r="5" customFormat="false" ht="30" hidden="false" customHeight="true" outlineLevel="0" collapsed="false">
      <c r="A5" s="36" t="s">
        <v>57</v>
      </c>
      <c r="B5" s="37" t="s">
        <v>58</v>
      </c>
    </row>
    <row r="6" customFormat="false" ht="30" hidden="false" customHeight="true" outlineLevel="0" collapsed="false">
      <c r="A6" s="36" t="s">
        <v>59</v>
      </c>
      <c r="B6" s="37" t="s">
        <v>60</v>
      </c>
    </row>
    <row r="7" customFormat="false" ht="30" hidden="false" customHeight="true" outlineLevel="0" collapsed="false">
      <c r="A7" s="36" t="s">
        <v>61</v>
      </c>
      <c r="B7" s="37" t="s">
        <v>62</v>
      </c>
    </row>
    <row r="8" customFormat="false" ht="30" hidden="false" customHeight="true" outlineLevel="0" collapsed="false">
      <c r="A8" s="36" t="s">
        <v>63</v>
      </c>
      <c r="B8" s="37" t="s">
        <v>64</v>
      </c>
    </row>
    <row r="9" customFormat="false" ht="30" hidden="false" customHeight="true" outlineLevel="0" collapsed="false">
      <c r="A9" s="36" t="s">
        <v>65</v>
      </c>
      <c r="B9" s="37" t="s">
        <v>66</v>
      </c>
    </row>
    <row r="10" customFormat="false" ht="30" hidden="false" customHeight="true" outlineLevel="0" collapsed="false">
      <c r="A10" s="36" t="s">
        <v>67</v>
      </c>
      <c r="B10" s="37" t="s">
        <v>68</v>
      </c>
    </row>
    <row r="11" customFormat="false" ht="30" hidden="false" customHeight="true" outlineLevel="0" collapsed="false">
      <c r="A11" s="36" t="s">
        <v>69</v>
      </c>
      <c r="B11" s="37" t="s">
        <v>70</v>
      </c>
    </row>
    <row r="12" customFormat="false" ht="30" hidden="false" customHeight="true" outlineLevel="0" collapsed="false">
      <c r="A12" s="36" t="s">
        <v>71</v>
      </c>
      <c r="B12" s="37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2026-09-14T12:32:19Z</dcterms:created>
  <dc:creator>openpyxl</dc:creator>
  <dc:description/>
  <dc:language>en-US</dc:language>
  <cp:lastModifiedBy/>
  <dcterms:modified xsi:type="dcterms:W3CDTF">2026-09-14T12:32:19Z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