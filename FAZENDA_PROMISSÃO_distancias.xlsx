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laragon\www\talhoes-distancias\saidas\"/>
    </mc:Choice>
  </mc:AlternateContent>
  <xr:revisionPtr revIDLastSave="0" documentId="13_ncr:1_{70B4E1D7-9BA7-410E-82FA-C845EE1410C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istâncias" sheetId="1" r:id="rId1"/>
    <sheet name="Premiss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6" i="1" l="1"/>
  <c r="B46" i="1"/>
  <c r="I44" i="1"/>
  <c r="H44" i="1"/>
  <c r="G44" i="1"/>
  <c r="I43" i="1"/>
  <c r="H43" i="1"/>
  <c r="G43" i="1"/>
  <c r="I42" i="1"/>
  <c r="H42" i="1"/>
  <c r="G42" i="1"/>
  <c r="I41" i="1"/>
  <c r="H41" i="1"/>
  <c r="G41" i="1"/>
  <c r="I40" i="1"/>
  <c r="H40" i="1"/>
  <c r="G40" i="1"/>
  <c r="I39" i="1"/>
  <c r="H39" i="1"/>
  <c r="G39" i="1"/>
  <c r="I38" i="1"/>
  <c r="H38" i="1"/>
  <c r="G38" i="1"/>
  <c r="I37" i="1"/>
  <c r="H37" i="1"/>
  <c r="G37" i="1"/>
  <c r="I36" i="1"/>
  <c r="H36" i="1"/>
  <c r="G36" i="1"/>
  <c r="I35" i="1"/>
  <c r="H35" i="1"/>
  <c r="G35" i="1"/>
  <c r="I34" i="1"/>
  <c r="H34" i="1"/>
  <c r="G34" i="1"/>
  <c r="I33" i="1"/>
  <c r="H33" i="1"/>
  <c r="G33" i="1"/>
  <c r="I32" i="1"/>
  <c r="H32" i="1"/>
  <c r="G32" i="1"/>
  <c r="I31" i="1"/>
  <c r="H31" i="1"/>
  <c r="G31" i="1"/>
  <c r="I30" i="1"/>
  <c r="H30" i="1"/>
  <c r="G30" i="1"/>
  <c r="I29" i="1"/>
  <c r="H29" i="1"/>
  <c r="G29" i="1"/>
  <c r="I28" i="1"/>
  <c r="H28" i="1"/>
  <c r="G28" i="1"/>
  <c r="I27" i="1"/>
  <c r="H27" i="1"/>
  <c r="G27" i="1"/>
  <c r="I26" i="1"/>
  <c r="H26" i="1"/>
  <c r="G26" i="1"/>
  <c r="I25" i="1"/>
  <c r="H25" i="1"/>
  <c r="G25" i="1"/>
  <c r="I24" i="1"/>
  <c r="H24" i="1"/>
  <c r="G24" i="1"/>
  <c r="I23" i="1"/>
  <c r="H23" i="1"/>
  <c r="G23" i="1"/>
  <c r="I22" i="1"/>
  <c r="H22" i="1"/>
  <c r="G22" i="1"/>
  <c r="I21" i="1"/>
  <c r="H21" i="1"/>
  <c r="G21" i="1"/>
  <c r="I20" i="1"/>
  <c r="H20" i="1"/>
  <c r="G20" i="1"/>
  <c r="I19" i="1"/>
  <c r="H19" i="1"/>
  <c r="G19" i="1"/>
  <c r="I18" i="1"/>
  <c r="H18" i="1"/>
  <c r="G18" i="1"/>
  <c r="I17" i="1"/>
  <c r="H17" i="1"/>
  <c r="G17" i="1"/>
  <c r="I16" i="1"/>
  <c r="H16" i="1"/>
  <c r="G16" i="1"/>
  <c r="I15" i="1"/>
  <c r="H15" i="1"/>
  <c r="G15" i="1"/>
  <c r="I14" i="1"/>
  <c r="H14" i="1"/>
  <c r="G14" i="1"/>
  <c r="I13" i="1"/>
  <c r="H13" i="1"/>
  <c r="G13" i="1"/>
  <c r="I12" i="1"/>
  <c r="H12" i="1"/>
  <c r="G12" i="1"/>
  <c r="I11" i="1"/>
  <c r="H11" i="1"/>
  <c r="G11" i="1"/>
  <c r="I10" i="1"/>
  <c r="H10" i="1"/>
  <c r="G10" i="1"/>
  <c r="I9" i="1"/>
  <c r="H9" i="1"/>
  <c r="G9" i="1"/>
  <c r="I8" i="1"/>
  <c r="H8" i="1"/>
  <c r="G8" i="1"/>
  <c r="I7" i="1"/>
  <c r="H7" i="1"/>
  <c r="G7" i="1"/>
  <c r="I6" i="1"/>
  <c r="H6" i="1"/>
  <c r="G6" i="1"/>
  <c r="I5" i="1"/>
  <c r="I46" i="1" s="1"/>
  <c r="H5" i="1"/>
  <c r="G5" i="1"/>
  <c r="G46" i="1" l="1"/>
</calcChain>
</file>

<file path=xl/sharedStrings.xml><?xml version="1.0" encoding="utf-8"?>
<sst xmlns="http://schemas.openxmlformats.org/spreadsheetml/2006/main" count="75" uniqueCount="75">
  <si>
    <t>FAZENDA PROMISSÃO — distância dos talhões até a sede</t>
  </si>
  <si>
    <t>Percurso pelas estradas/carreadores, até o ponto mais extremo do talhão.</t>
  </si>
  <si>
    <t>Talhão</t>
  </si>
  <si>
    <t>Área (ha)</t>
  </si>
  <si>
    <t>Perímetro (m)</t>
  </si>
  <si>
    <t>Dist. máxima (m)</t>
  </si>
  <si>
    <t>Dist. mínima (m)</t>
  </si>
  <si>
    <t>Linha reta (m)</t>
  </si>
  <si>
    <t>Máxima (km)</t>
  </si>
  <si>
    <t>Mínima (km)</t>
  </si>
  <si>
    <t>Fator estrada/reta</t>
  </si>
  <si>
    <t>Observação</t>
  </si>
  <si>
    <t>T-01</t>
  </si>
  <si>
    <t>T-02</t>
  </si>
  <si>
    <t>T-08</t>
  </si>
  <si>
    <t>T-03</t>
  </si>
  <si>
    <t>T-32A</t>
  </si>
  <si>
    <t>T-07</t>
  </si>
  <si>
    <t>T-27</t>
  </si>
  <si>
    <t>T-04</t>
  </si>
  <si>
    <t>T-28</t>
  </si>
  <si>
    <t>T-31A</t>
  </si>
  <si>
    <t>T-32</t>
  </si>
  <si>
    <t>T-09</t>
  </si>
  <si>
    <t>T-06</t>
  </si>
  <si>
    <t>T-13</t>
  </si>
  <si>
    <t>T-10</t>
  </si>
  <si>
    <t>T-30A</t>
  </si>
  <si>
    <t>T-05</t>
  </si>
  <si>
    <t>T-31B</t>
  </si>
  <si>
    <t>T-24</t>
  </si>
  <si>
    <t>T-29A</t>
  </si>
  <si>
    <t>T-25</t>
  </si>
  <si>
    <t>T-14</t>
  </si>
  <si>
    <t>T-30B</t>
  </si>
  <si>
    <t>T-11</t>
  </si>
  <si>
    <t>T-12</t>
  </si>
  <si>
    <t>T-26A</t>
  </si>
  <si>
    <t>T-30C</t>
  </si>
  <si>
    <t>T-15</t>
  </si>
  <si>
    <t>T-29B</t>
  </si>
  <si>
    <t>T-23</t>
  </si>
  <si>
    <t>T-19</t>
  </si>
  <si>
    <t>T-26</t>
  </si>
  <si>
    <t>T-16</t>
  </si>
  <si>
    <t>T-29 C</t>
  </si>
  <si>
    <t>T-18</t>
  </si>
  <si>
    <t>T-20</t>
  </si>
  <si>
    <t>T-22</t>
  </si>
  <si>
    <t>T-17</t>
  </si>
  <si>
    <t>T-21</t>
  </si>
  <si>
    <t>T-29C</t>
  </si>
  <si>
    <t>TOTAL / MÁXIMO</t>
  </si>
  <si>
    <t>Fundo amarelo = precisa de conferência: fator ≥ 3,0, ligação suposta, ou talhão sem estrada. Veja a coluna Observação.</t>
  </si>
  <si>
    <t>Como estes números foram calculados</t>
  </si>
  <si>
    <t>Origem</t>
  </si>
  <si>
    <t>Ponto de sede do projeto do Google Earth (-13.894866, -57.09905).</t>
  </si>
  <si>
    <t>Talhões</t>
  </si>
  <si>
    <t>40 polígonos da pasta FAZENDA PROMISSÃO.</t>
  </si>
  <si>
    <t>Malha de estradas</t>
  </si>
  <si>
    <t>Divisas dos talhões (os carreadores correm nas divisas), costuradas onde talhões vizinhos são separados pela faixa do carreador (até 45 m), mais as estradas de dados/estradas_extra.json.</t>
  </si>
  <si>
    <t>Dist. máxima</t>
  </si>
  <si>
    <t>Menor caminho pela estrada, da sede até o ponto MAIS EXTREMO do perímetro do talhão. Não corta por dentro da lavoura.</t>
  </si>
  <si>
    <t>Dist. mínima</t>
  </si>
  <si>
    <t>Menor caminho pela estrada, da sede até o ponto de acesso mais próximo.</t>
  </si>
  <si>
    <t>Linha reta</t>
  </si>
  <si>
    <t>Distância em linha reta da sede até a borda do talhão. Só referência.</t>
  </si>
  <si>
    <t>Fator</t>
  </si>
  <si>
    <t>Dist. máxima ÷ linha reta. Fator alto = rota indireta, ou estrada faltando na malha.</t>
  </si>
  <si>
    <t>Coordenadas</t>
  </si>
  <si>
    <t>SIRGAS 2000 / UTM 21S (EPSG:31981) para distâncias e áreas.</t>
  </si>
  <si>
    <t>Resolução</t>
  </si>
  <si>
    <t>Malha densificada a cada 25 m — é a precisão do 'ponto mais extremo'.</t>
  </si>
  <si>
    <t>Validação</t>
  </si>
  <si>
    <t>A malha precisa ser conferida por quem roda a fazenda. Use o arquivo _bancada.html.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</si>
</sst>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0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10"/>
      <color rgb="FF808080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sz val="10"/>
      <color rgb="FF0000FF"/>
      <name val="Arial"/>
    </font>
    <font>
      <i/>
      <sz val="9"/>
      <color rgb="FF000000"/>
      <name val="Arial"/>
    </font>
    <font>
      <i/>
      <sz val="9"/>
      <color rgb="FF808080"/>
      <name val="Arial"/>
    </font>
    <font>
      <b/>
      <sz val="13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/>
    <xf numFmtId="164" fontId="5" fillId="0" borderId="1" xfId="0" applyNumberFormat="1" applyFont="1" applyBorder="1"/>
    <xf numFmtId="3" fontId="5" fillId="0" borderId="1" xfId="0" applyNumberFormat="1" applyFont="1" applyBorder="1"/>
    <xf numFmtId="3" fontId="6" fillId="0" borderId="1" xfId="0" applyNumberFormat="1" applyFont="1" applyBorder="1"/>
    <xf numFmtId="4" fontId="5" fillId="0" borderId="1" xfId="0" applyNumberFormat="1" applyFont="1" applyBorder="1"/>
    <xf numFmtId="2" fontId="5" fillId="0" borderId="1" xfId="0" applyNumberFormat="1" applyFont="1" applyBorder="1"/>
    <xf numFmtId="0" fontId="7" fillId="0" borderId="1" xfId="0" applyFont="1" applyBorder="1"/>
    <xf numFmtId="0" fontId="4" fillId="3" borderId="1" xfId="0" applyFont="1" applyFill="1" applyBorder="1"/>
    <xf numFmtId="164" fontId="5" fillId="3" borderId="1" xfId="0" applyNumberFormat="1" applyFont="1" applyFill="1" applyBorder="1"/>
    <xf numFmtId="3" fontId="5" fillId="3" borderId="1" xfId="0" applyNumberFormat="1" applyFont="1" applyFill="1" applyBorder="1"/>
    <xf numFmtId="3" fontId="6" fillId="3" borderId="1" xfId="0" applyNumberFormat="1" applyFont="1" applyFill="1" applyBorder="1"/>
    <xf numFmtId="4" fontId="5" fillId="3" borderId="1" xfId="0" applyNumberFormat="1" applyFont="1" applyFill="1" applyBorder="1"/>
    <xf numFmtId="2" fontId="5" fillId="3" borderId="1" xfId="0" applyNumberFormat="1" applyFont="1" applyFill="1" applyBorder="1"/>
    <xf numFmtId="0" fontId="7" fillId="3" borderId="1" xfId="0" applyFont="1" applyFill="1" applyBorder="1"/>
    <xf numFmtId="0" fontId="4" fillId="4" borderId="1" xfId="0" applyFont="1" applyFill="1" applyBorder="1"/>
    <xf numFmtId="164" fontId="5" fillId="4" borderId="1" xfId="0" applyNumberFormat="1" applyFont="1" applyFill="1" applyBorder="1"/>
    <xf numFmtId="3" fontId="5" fillId="4" borderId="1" xfId="0" applyNumberFormat="1" applyFont="1" applyFill="1" applyBorder="1"/>
    <xf numFmtId="3" fontId="6" fillId="4" borderId="1" xfId="0" applyNumberFormat="1" applyFont="1" applyFill="1" applyBorder="1"/>
    <xf numFmtId="4" fontId="5" fillId="4" borderId="1" xfId="0" applyNumberFormat="1" applyFont="1" applyFill="1" applyBorder="1"/>
    <xf numFmtId="2" fontId="5" fillId="4" borderId="1" xfId="0" applyNumberFormat="1" applyFont="1" applyFill="1" applyBorder="1"/>
    <xf numFmtId="0" fontId="7" fillId="4" borderId="1" xfId="0" applyFont="1" applyFill="1" applyBorder="1"/>
    <xf numFmtId="0" fontId="4" fillId="0" borderId="0" xfId="0" applyFont="1"/>
    <xf numFmtId="164" fontId="4" fillId="0" borderId="0" xfId="0" applyNumberFormat="1" applyFont="1"/>
    <xf numFmtId="3" fontId="4" fillId="0" borderId="0" xfId="0" applyNumberFormat="1" applyFont="1"/>
    <xf numFmtId="4" fontId="4" fillId="0" borderId="0" xfId="0" applyNumberFormat="1" applyFont="1"/>
    <xf numFmtId="2" fontId="4" fillId="0" borderId="0" xfId="0" applyNumberFormat="1" applyFont="1"/>
    <xf numFmtId="0" fontId="8" fillId="0" borderId="0" xfId="0" applyFont="1"/>
    <xf numFmtId="0" fontId="9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tabSelected="1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2" customWidth="1"/>
    <col min="2" max="2" width="11" customWidth="1"/>
    <col min="3" max="3" width="14" customWidth="1"/>
    <col min="4" max="5" width="16" customWidth="1"/>
    <col min="6" max="6" width="14" customWidth="1"/>
    <col min="7" max="8" width="12" customWidth="1"/>
    <col min="9" max="9" width="17" customWidth="1"/>
    <col min="10" max="10" width="34" customWidth="1"/>
  </cols>
  <sheetData>
    <row r="1" spans="1:10" ht="17.399999999999999" x14ac:dyDescent="0.3">
      <c r="A1" s="1" t="s">
        <v>0</v>
      </c>
    </row>
    <row r="2" spans="1:10" x14ac:dyDescent="0.3">
      <c r="A2" s="2" t="s">
        <v>1</v>
      </c>
    </row>
    <row r="4" spans="1:10" ht="30" customHeight="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3">
      <c r="A5" s="4" t="s">
        <v>12</v>
      </c>
      <c r="B5" s="5">
        <v>217.12</v>
      </c>
      <c r="C5" s="6">
        <v>6055</v>
      </c>
      <c r="D5" s="7">
        <v>12306</v>
      </c>
      <c r="E5" s="7">
        <v>9243</v>
      </c>
      <c r="F5" s="7">
        <v>7665</v>
      </c>
      <c r="G5" s="8">
        <f t="shared" ref="G5:G44" si="0">D5/1000</f>
        <v>12.305999999999999</v>
      </c>
      <c r="H5" s="8">
        <f t="shared" ref="H5:H44" si="1">E5/1000</f>
        <v>9.2430000000000003</v>
      </c>
      <c r="I5" s="9">
        <f t="shared" ref="I5:I44" si="2">IFERROR(D5/F5,"")</f>
        <v>1.6054794520547946</v>
      </c>
      <c r="J5" s="10"/>
    </row>
    <row r="6" spans="1:10" x14ac:dyDescent="0.3">
      <c r="A6" s="11" t="s">
        <v>13</v>
      </c>
      <c r="B6" s="12">
        <v>216.07</v>
      </c>
      <c r="C6" s="13">
        <v>5881</v>
      </c>
      <c r="D6" s="14">
        <v>10805</v>
      </c>
      <c r="E6" s="14">
        <v>7821</v>
      </c>
      <c r="F6" s="14">
        <v>6496</v>
      </c>
      <c r="G6" s="15">
        <f t="shared" si="0"/>
        <v>10.805</v>
      </c>
      <c r="H6" s="15">
        <f t="shared" si="1"/>
        <v>7.8209999999999997</v>
      </c>
      <c r="I6" s="16">
        <f t="shared" si="2"/>
        <v>1.6633312807881773</v>
      </c>
      <c r="J6" s="17"/>
    </row>
    <row r="7" spans="1:10" x14ac:dyDescent="0.3">
      <c r="A7" s="4" t="s">
        <v>14</v>
      </c>
      <c r="B7" s="5">
        <v>128.52000000000001</v>
      </c>
      <c r="C7" s="6">
        <v>5847</v>
      </c>
      <c r="D7" s="7">
        <v>10689</v>
      </c>
      <c r="E7" s="7">
        <v>7750</v>
      </c>
      <c r="F7" s="7">
        <v>6977</v>
      </c>
      <c r="G7" s="8">
        <f t="shared" si="0"/>
        <v>10.689</v>
      </c>
      <c r="H7" s="8">
        <f t="shared" si="1"/>
        <v>7.75</v>
      </c>
      <c r="I7" s="9">
        <f t="shared" si="2"/>
        <v>1.532033825426401</v>
      </c>
      <c r="J7" s="10"/>
    </row>
    <row r="8" spans="1:10" x14ac:dyDescent="0.3">
      <c r="A8" s="11" t="s">
        <v>15</v>
      </c>
      <c r="B8" s="12">
        <v>215.16</v>
      </c>
      <c r="C8" s="13">
        <v>5870</v>
      </c>
      <c r="D8" s="14">
        <v>9883</v>
      </c>
      <c r="E8" s="14">
        <v>7458</v>
      </c>
      <c r="F8" s="14">
        <v>5463</v>
      </c>
      <c r="G8" s="15">
        <f t="shared" si="0"/>
        <v>9.8829999999999991</v>
      </c>
      <c r="H8" s="15">
        <f t="shared" si="1"/>
        <v>7.4580000000000002</v>
      </c>
      <c r="I8" s="16">
        <f t="shared" si="2"/>
        <v>1.80907926047959</v>
      </c>
      <c r="J8" s="17"/>
    </row>
    <row r="9" spans="1:10" x14ac:dyDescent="0.3">
      <c r="A9" s="4" t="s">
        <v>16</v>
      </c>
      <c r="B9" s="5">
        <v>83.99</v>
      </c>
      <c r="C9" s="6">
        <v>4543</v>
      </c>
      <c r="D9" s="7">
        <v>9617</v>
      </c>
      <c r="E9" s="7">
        <v>7867</v>
      </c>
      <c r="F9" s="7">
        <v>6182</v>
      </c>
      <c r="G9" s="8">
        <f t="shared" si="0"/>
        <v>9.6170000000000009</v>
      </c>
      <c r="H9" s="8">
        <f t="shared" si="1"/>
        <v>7.867</v>
      </c>
      <c r="I9" s="9">
        <f t="shared" si="2"/>
        <v>1.5556454221934648</v>
      </c>
      <c r="J9" s="10"/>
    </row>
    <row r="10" spans="1:10" x14ac:dyDescent="0.3">
      <c r="A10" s="11" t="s">
        <v>17</v>
      </c>
      <c r="B10" s="12">
        <v>214</v>
      </c>
      <c r="C10" s="13">
        <v>5853</v>
      </c>
      <c r="D10" s="14">
        <v>9313</v>
      </c>
      <c r="E10" s="14">
        <v>6325</v>
      </c>
      <c r="F10" s="14">
        <v>5666</v>
      </c>
      <c r="G10" s="15">
        <f t="shared" si="0"/>
        <v>9.3130000000000006</v>
      </c>
      <c r="H10" s="15">
        <f t="shared" si="1"/>
        <v>6.3250000000000002</v>
      </c>
      <c r="I10" s="16">
        <f t="shared" si="2"/>
        <v>1.6436639604659371</v>
      </c>
      <c r="J10" s="17"/>
    </row>
    <row r="11" spans="1:10" x14ac:dyDescent="0.3">
      <c r="A11" s="4" t="s">
        <v>18</v>
      </c>
      <c r="B11" s="5">
        <v>248.35</v>
      </c>
      <c r="C11" s="6">
        <v>7351</v>
      </c>
      <c r="D11" s="7">
        <v>9305</v>
      </c>
      <c r="E11" s="7">
        <v>5368</v>
      </c>
      <c r="F11" s="7">
        <v>4648</v>
      </c>
      <c r="G11" s="8">
        <f t="shared" si="0"/>
        <v>9.3049999999999997</v>
      </c>
      <c r="H11" s="8">
        <f t="shared" si="1"/>
        <v>5.3680000000000003</v>
      </c>
      <c r="I11" s="9">
        <f t="shared" si="2"/>
        <v>2.0019363166953528</v>
      </c>
      <c r="J11" s="10"/>
    </row>
    <row r="12" spans="1:10" x14ac:dyDescent="0.3">
      <c r="A12" s="11" t="s">
        <v>19</v>
      </c>
      <c r="B12" s="12">
        <v>222.45</v>
      </c>
      <c r="C12" s="13">
        <v>5898</v>
      </c>
      <c r="D12" s="14">
        <v>9106</v>
      </c>
      <c r="E12" s="14">
        <v>6264</v>
      </c>
      <c r="F12" s="14">
        <v>4632</v>
      </c>
      <c r="G12" s="15">
        <f t="shared" si="0"/>
        <v>9.1059999999999999</v>
      </c>
      <c r="H12" s="15">
        <f t="shared" si="1"/>
        <v>6.2640000000000002</v>
      </c>
      <c r="I12" s="16">
        <f t="shared" si="2"/>
        <v>1.9658894645941278</v>
      </c>
      <c r="J12" s="17"/>
    </row>
    <row r="13" spans="1:10" x14ac:dyDescent="0.3">
      <c r="A13" s="4" t="s">
        <v>20</v>
      </c>
      <c r="B13" s="5">
        <v>181.92</v>
      </c>
      <c r="C13" s="6">
        <v>6154</v>
      </c>
      <c r="D13" s="7">
        <v>9062</v>
      </c>
      <c r="E13" s="7">
        <v>6416</v>
      </c>
      <c r="F13" s="7">
        <v>5748</v>
      </c>
      <c r="G13" s="8">
        <f t="shared" si="0"/>
        <v>9.0619999999999994</v>
      </c>
      <c r="H13" s="8">
        <f t="shared" si="1"/>
        <v>6.4160000000000004</v>
      </c>
      <c r="I13" s="9">
        <f t="shared" si="2"/>
        <v>1.5765483646485734</v>
      </c>
      <c r="J13" s="10"/>
    </row>
    <row r="14" spans="1:10" x14ac:dyDescent="0.3">
      <c r="A14" s="11" t="s">
        <v>21</v>
      </c>
      <c r="B14" s="12">
        <v>132.85</v>
      </c>
      <c r="C14" s="13">
        <v>5047</v>
      </c>
      <c r="D14" s="14">
        <v>8819</v>
      </c>
      <c r="E14" s="14">
        <v>6230</v>
      </c>
      <c r="F14" s="14">
        <v>4795</v>
      </c>
      <c r="G14" s="15">
        <f t="shared" si="0"/>
        <v>8.8190000000000008</v>
      </c>
      <c r="H14" s="15">
        <f t="shared" si="1"/>
        <v>6.23</v>
      </c>
      <c r="I14" s="16">
        <f t="shared" si="2"/>
        <v>1.8392075078206465</v>
      </c>
      <c r="J14" s="17"/>
    </row>
    <row r="15" spans="1:10" x14ac:dyDescent="0.3">
      <c r="A15" s="4" t="s">
        <v>22</v>
      </c>
      <c r="B15" s="5">
        <v>138.68</v>
      </c>
      <c r="C15" s="6">
        <v>5245</v>
      </c>
      <c r="D15" s="7">
        <v>8509</v>
      </c>
      <c r="E15" s="7">
        <v>6385</v>
      </c>
      <c r="F15" s="7">
        <v>4871</v>
      </c>
      <c r="G15" s="8">
        <f t="shared" si="0"/>
        <v>8.5090000000000003</v>
      </c>
      <c r="H15" s="8">
        <f t="shared" si="1"/>
        <v>6.3849999999999998</v>
      </c>
      <c r="I15" s="9">
        <f t="shared" si="2"/>
        <v>1.7468692260316157</v>
      </c>
      <c r="J15" s="10"/>
    </row>
    <row r="16" spans="1:10" x14ac:dyDescent="0.3">
      <c r="A16" s="11" t="s">
        <v>23</v>
      </c>
      <c r="B16" s="12">
        <v>136.16</v>
      </c>
      <c r="C16" s="13">
        <v>5252</v>
      </c>
      <c r="D16" s="14">
        <v>8429</v>
      </c>
      <c r="E16" s="14">
        <v>5767</v>
      </c>
      <c r="F16" s="14">
        <v>5369</v>
      </c>
      <c r="G16" s="15">
        <f t="shared" si="0"/>
        <v>8.4290000000000003</v>
      </c>
      <c r="H16" s="15">
        <f t="shared" si="1"/>
        <v>5.7670000000000003</v>
      </c>
      <c r="I16" s="16">
        <f t="shared" si="2"/>
        <v>1.5699385360402309</v>
      </c>
      <c r="J16" s="17"/>
    </row>
    <row r="17" spans="1:10" x14ac:dyDescent="0.3">
      <c r="A17" s="4" t="s">
        <v>24</v>
      </c>
      <c r="B17" s="5">
        <v>211.14</v>
      </c>
      <c r="C17" s="6">
        <v>5814</v>
      </c>
      <c r="D17" s="7">
        <v>8372</v>
      </c>
      <c r="E17" s="7">
        <v>5994</v>
      </c>
      <c r="F17" s="7">
        <v>4461</v>
      </c>
      <c r="G17" s="8">
        <f t="shared" si="0"/>
        <v>8.3719999999999999</v>
      </c>
      <c r="H17" s="8">
        <f t="shared" si="1"/>
        <v>5.9939999999999998</v>
      </c>
      <c r="I17" s="9">
        <f t="shared" si="2"/>
        <v>1.8767092580138982</v>
      </c>
      <c r="J17" s="10"/>
    </row>
    <row r="18" spans="1:10" x14ac:dyDescent="0.3">
      <c r="A18" s="11" t="s">
        <v>25</v>
      </c>
      <c r="B18" s="12">
        <v>198.71</v>
      </c>
      <c r="C18" s="13">
        <v>5502</v>
      </c>
      <c r="D18" s="14">
        <v>7961</v>
      </c>
      <c r="E18" s="14">
        <v>5244</v>
      </c>
      <c r="F18" s="14">
        <v>4181</v>
      </c>
      <c r="G18" s="15">
        <f t="shared" si="0"/>
        <v>7.9610000000000003</v>
      </c>
      <c r="H18" s="15">
        <f t="shared" si="1"/>
        <v>5.2439999999999998</v>
      </c>
      <c r="I18" s="16">
        <f t="shared" si="2"/>
        <v>1.9040899306386032</v>
      </c>
      <c r="J18" s="17"/>
    </row>
    <row r="19" spans="1:10" x14ac:dyDescent="0.3">
      <c r="A19" s="4" t="s">
        <v>26</v>
      </c>
      <c r="B19" s="5">
        <v>225.86</v>
      </c>
      <c r="C19" s="6">
        <v>6836</v>
      </c>
      <c r="D19" s="7">
        <v>7808</v>
      </c>
      <c r="E19" s="7">
        <v>4333</v>
      </c>
      <c r="F19" s="7">
        <v>3960</v>
      </c>
      <c r="G19" s="8">
        <f t="shared" si="0"/>
        <v>7.8079999999999998</v>
      </c>
      <c r="H19" s="8">
        <f t="shared" si="1"/>
        <v>4.3330000000000002</v>
      </c>
      <c r="I19" s="9">
        <f t="shared" si="2"/>
        <v>1.9717171717171718</v>
      </c>
      <c r="J19" s="10"/>
    </row>
    <row r="20" spans="1:10" x14ac:dyDescent="0.3">
      <c r="A20" s="11" t="s">
        <v>27</v>
      </c>
      <c r="B20" s="12">
        <v>101.07</v>
      </c>
      <c r="C20" s="13">
        <v>4286</v>
      </c>
      <c r="D20" s="14">
        <v>7761</v>
      </c>
      <c r="E20" s="14">
        <v>5493</v>
      </c>
      <c r="F20" s="14">
        <v>4476</v>
      </c>
      <c r="G20" s="15">
        <f t="shared" si="0"/>
        <v>7.7610000000000001</v>
      </c>
      <c r="H20" s="15">
        <f t="shared" si="1"/>
        <v>5.4930000000000003</v>
      </c>
      <c r="I20" s="16">
        <f t="shared" si="2"/>
        <v>1.7339142091152815</v>
      </c>
      <c r="J20" s="17"/>
    </row>
    <row r="21" spans="1:10" x14ac:dyDescent="0.3">
      <c r="A21" s="4" t="s">
        <v>28</v>
      </c>
      <c r="B21" s="5">
        <v>176.55</v>
      </c>
      <c r="C21" s="6">
        <v>7594</v>
      </c>
      <c r="D21" s="7">
        <v>7621</v>
      </c>
      <c r="E21" s="7">
        <v>4750</v>
      </c>
      <c r="F21" s="7">
        <v>3538</v>
      </c>
      <c r="G21" s="8">
        <f t="shared" si="0"/>
        <v>7.6210000000000004</v>
      </c>
      <c r="H21" s="8">
        <f t="shared" si="1"/>
        <v>4.75</v>
      </c>
      <c r="I21" s="9">
        <f t="shared" si="2"/>
        <v>2.1540418315432448</v>
      </c>
      <c r="J21" s="10"/>
    </row>
    <row r="22" spans="1:10" x14ac:dyDescent="0.3">
      <c r="A22" s="11" t="s">
        <v>29</v>
      </c>
      <c r="B22" s="12">
        <v>89.83</v>
      </c>
      <c r="C22" s="13">
        <v>4143</v>
      </c>
      <c r="D22" s="14">
        <v>7502</v>
      </c>
      <c r="E22" s="14">
        <v>5345</v>
      </c>
      <c r="F22" s="14">
        <v>3986</v>
      </c>
      <c r="G22" s="15">
        <f t="shared" si="0"/>
        <v>7.5019999999999998</v>
      </c>
      <c r="H22" s="15">
        <f t="shared" si="1"/>
        <v>5.3449999999999998</v>
      </c>
      <c r="I22" s="16">
        <f t="shared" si="2"/>
        <v>1.8820873055694933</v>
      </c>
      <c r="J22" s="17"/>
    </row>
    <row r="23" spans="1:10" x14ac:dyDescent="0.3">
      <c r="A23" s="4" t="s">
        <v>30</v>
      </c>
      <c r="B23" s="5">
        <v>313.18</v>
      </c>
      <c r="C23" s="6">
        <v>7098</v>
      </c>
      <c r="D23" s="7">
        <v>7316</v>
      </c>
      <c r="E23" s="7">
        <v>3852</v>
      </c>
      <c r="F23" s="7">
        <v>2810</v>
      </c>
      <c r="G23" s="8">
        <f t="shared" si="0"/>
        <v>7.3159999999999998</v>
      </c>
      <c r="H23" s="8">
        <f t="shared" si="1"/>
        <v>3.8519999999999999</v>
      </c>
      <c r="I23" s="9">
        <f t="shared" si="2"/>
        <v>2.6035587188612102</v>
      </c>
      <c r="J23" s="10"/>
    </row>
    <row r="24" spans="1:10" x14ac:dyDescent="0.3">
      <c r="A24" s="11" t="s">
        <v>31</v>
      </c>
      <c r="B24" s="12">
        <v>158.57</v>
      </c>
      <c r="C24" s="13">
        <v>5634</v>
      </c>
      <c r="D24" s="14">
        <v>7225</v>
      </c>
      <c r="E24" s="14">
        <v>4354</v>
      </c>
      <c r="F24" s="14">
        <v>3705</v>
      </c>
      <c r="G24" s="15">
        <f t="shared" si="0"/>
        <v>7.2249999999999996</v>
      </c>
      <c r="H24" s="15">
        <f t="shared" si="1"/>
        <v>4.3540000000000001</v>
      </c>
      <c r="I24" s="16">
        <f t="shared" si="2"/>
        <v>1.9500674763832659</v>
      </c>
      <c r="J24" s="17"/>
    </row>
    <row r="25" spans="1:10" x14ac:dyDescent="0.3">
      <c r="A25" s="4" t="s">
        <v>32</v>
      </c>
      <c r="B25" s="5">
        <v>128.41999999999999</v>
      </c>
      <c r="C25" s="6">
        <v>6551</v>
      </c>
      <c r="D25" s="7">
        <v>7184</v>
      </c>
      <c r="E25" s="7">
        <v>3078</v>
      </c>
      <c r="F25" s="7">
        <v>2542</v>
      </c>
      <c r="G25" s="8">
        <f t="shared" si="0"/>
        <v>7.1840000000000002</v>
      </c>
      <c r="H25" s="8">
        <f t="shared" si="1"/>
        <v>3.0779999999999998</v>
      </c>
      <c r="I25" s="9">
        <f t="shared" si="2"/>
        <v>2.8261211644374509</v>
      </c>
      <c r="J25" s="10"/>
    </row>
    <row r="26" spans="1:10" x14ac:dyDescent="0.3">
      <c r="A26" s="11" t="s">
        <v>33</v>
      </c>
      <c r="B26" s="12">
        <v>180.97</v>
      </c>
      <c r="C26" s="13">
        <v>5840</v>
      </c>
      <c r="D26" s="14">
        <v>6920</v>
      </c>
      <c r="E26" s="14">
        <v>4279</v>
      </c>
      <c r="F26" s="14">
        <v>3349</v>
      </c>
      <c r="G26" s="15">
        <f t="shared" si="0"/>
        <v>6.92</v>
      </c>
      <c r="H26" s="15">
        <f t="shared" si="1"/>
        <v>4.2789999999999999</v>
      </c>
      <c r="I26" s="16">
        <f t="shared" si="2"/>
        <v>2.0662884443117346</v>
      </c>
      <c r="J26" s="17"/>
    </row>
    <row r="27" spans="1:10" x14ac:dyDescent="0.3">
      <c r="A27" s="4" t="s">
        <v>34</v>
      </c>
      <c r="B27" s="5">
        <v>129.79</v>
      </c>
      <c r="C27" s="6">
        <v>4831</v>
      </c>
      <c r="D27" s="7">
        <v>6883</v>
      </c>
      <c r="E27" s="7">
        <v>4327</v>
      </c>
      <c r="F27" s="7">
        <v>3323</v>
      </c>
      <c r="G27" s="8">
        <f t="shared" si="0"/>
        <v>6.883</v>
      </c>
      <c r="H27" s="8">
        <f t="shared" si="1"/>
        <v>4.327</v>
      </c>
      <c r="I27" s="9">
        <f t="shared" si="2"/>
        <v>2.0713210953957266</v>
      </c>
      <c r="J27" s="10"/>
    </row>
    <row r="28" spans="1:10" x14ac:dyDescent="0.3">
      <c r="A28" s="11" t="s">
        <v>35</v>
      </c>
      <c r="B28" s="12">
        <v>303.27</v>
      </c>
      <c r="C28" s="13">
        <v>7420</v>
      </c>
      <c r="D28" s="14">
        <v>6881</v>
      </c>
      <c r="E28" s="14">
        <v>3156</v>
      </c>
      <c r="F28" s="14">
        <v>2827</v>
      </c>
      <c r="G28" s="15">
        <f t="shared" si="0"/>
        <v>6.8810000000000002</v>
      </c>
      <c r="H28" s="15">
        <f t="shared" si="1"/>
        <v>3.1560000000000001</v>
      </c>
      <c r="I28" s="16">
        <f t="shared" si="2"/>
        <v>2.434029006013442</v>
      </c>
      <c r="J28" s="17"/>
    </row>
    <row r="29" spans="1:10" x14ac:dyDescent="0.3">
      <c r="A29" s="4" t="s">
        <v>36</v>
      </c>
      <c r="B29" s="5">
        <v>196.2</v>
      </c>
      <c r="C29" s="6">
        <v>5516</v>
      </c>
      <c r="D29" s="7">
        <v>6732</v>
      </c>
      <c r="E29" s="7">
        <v>4263</v>
      </c>
      <c r="F29" s="7">
        <v>3785</v>
      </c>
      <c r="G29" s="8">
        <f t="shared" si="0"/>
        <v>6.7320000000000002</v>
      </c>
      <c r="H29" s="8">
        <f t="shared" si="1"/>
        <v>4.2629999999999999</v>
      </c>
      <c r="I29" s="9">
        <f t="shared" si="2"/>
        <v>1.7785997357992074</v>
      </c>
      <c r="J29" s="10"/>
    </row>
    <row r="30" spans="1:10" x14ac:dyDescent="0.3">
      <c r="A30" s="11" t="s">
        <v>37</v>
      </c>
      <c r="B30" s="12">
        <v>127.51</v>
      </c>
      <c r="C30" s="13">
        <v>5515</v>
      </c>
      <c r="D30" s="14">
        <v>6531</v>
      </c>
      <c r="E30" s="14">
        <v>4378</v>
      </c>
      <c r="F30" s="14">
        <v>2671</v>
      </c>
      <c r="G30" s="15">
        <f t="shared" si="0"/>
        <v>6.5309999999999997</v>
      </c>
      <c r="H30" s="15">
        <f t="shared" si="1"/>
        <v>4.3780000000000001</v>
      </c>
      <c r="I30" s="16">
        <f t="shared" si="2"/>
        <v>2.4451516286035191</v>
      </c>
      <c r="J30" s="17"/>
    </row>
    <row r="31" spans="1:10" x14ac:dyDescent="0.3">
      <c r="A31" s="4" t="s">
        <v>38</v>
      </c>
      <c r="B31" s="5">
        <v>53.2</v>
      </c>
      <c r="C31" s="6">
        <v>3095</v>
      </c>
      <c r="D31" s="7">
        <v>5977</v>
      </c>
      <c r="E31" s="7">
        <v>4327</v>
      </c>
      <c r="F31" s="7">
        <v>3321</v>
      </c>
      <c r="G31" s="8">
        <f t="shared" si="0"/>
        <v>5.9770000000000003</v>
      </c>
      <c r="H31" s="8">
        <f t="shared" si="1"/>
        <v>4.327</v>
      </c>
      <c r="I31" s="9">
        <f t="shared" si="2"/>
        <v>1.7997591087021982</v>
      </c>
      <c r="J31" s="10"/>
    </row>
    <row r="32" spans="1:10" x14ac:dyDescent="0.3">
      <c r="A32" s="11" t="s">
        <v>39</v>
      </c>
      <c r="B32" s="12">
        <v>189.27</v>
      </c>
      <c r="C32" s="13">
        <v>5556</v>
      </c>
      <c r="D32" s="14">
        <v>5875</v>
      </c>
      <c r="E32" s="14">
        <v>3291</v>
      </c>
      <c r="F32" s="14">
        <v>2759</v>
      </c>
      <c r="G32" s="15">
        <f t="shared" si="0"/>
        <v>5.875</v>
      </c>
      <c r="H32" s="15">
        <f t="shared" si="1"/>
        <v>3.2909999999999999</v>
      </c>
      <c r="I32" s="16">
        <f t="shared" si="2"/>
        <v>2.1293947082276188</v>
      </c>
      <c r="J32" s="17"/>
    </row>
    <row r="33" spans="1:10" x14ac:dyDescent="0.3">
      <c r="A33" s="4" t="s">
        <v>40</v>
      </c>
      <c r="B33" s="5">
        <v>115.08</v>
      </c>
      <c r="C33" s="6">
        <v>5656</v>
      </c>
      <c r="D33" s="7">
        <v>5698</v>
      </c>
      <c r="E33" s="7">
        <v>2929</v>
      </c>
      <c r="F33" s="7">
        <v>2262</v>
      </c>
      <c r="G33" s="8">
        <f t="shared" si="0"/>
        <v>5.6980000000000004</v>
      </c>
      <c r="H33" s="8">
        <f t="shared" si="1"/>
        <v>2.9289999999999998</v>
      </c>
      <c r="I33" s="9">
        <f t="shared" si="2"/>
        <v>2.5190097259062778</v>
      </c>
      <c r="J33" s="10"/>
    </row>
    <row r="34" spans="1:10" x14ac:dyDescent="0.3">
      <c r="A34" s="18" t="s">
        <v>41</v>
      </c>
      <c r="B34" s="19">
        <v>249.78</v>
      </c>
      <c r="C34" s="20">
        <v>6425</v>
      </c>
      <c r="D34" s="21">
        <v>5585</v>
      </c>
      <c r="E34" s="21">
        <v>2372</v>
      </c>
      <c r="F34" s="21">
        <v>1605</v>
      </c>
      <c r="G34" s="22">
        <f t="shared" si="0"/>
        <v>5.585</v>
      </c>
      <c r="H34" s="22">
        <f t="shared" si="1"/>
        <v>2.3719999999999999</v>
      </c>
      <c r="I34" s="23">
        <f t="shared" si="2"/>
        <v>3.4797507788161992</v>
      </c>
      <c r="J34" s="24"/>
    </row>
    <row r="35" spans="1:10" x14ac:dyDescent="0.3">
      <c r="A35" s="4" t="s">
        <v>42</v>
      </c>
      <c r="B35" s="5">
        <v>207.35</v>
      </c>
      <c r="C35" s="6">
        <v>5781</v>
      </c>
      <c r="D35" s="7">
        <v>5560</v>
      </c>
      <c r="E35" s="7">
        <v>2635</v>
      </c>
      <c r="F35" s="7">
        <v>2643</v>
      </c>
      <c r="G35" s="8">
        <f t="shared" si="0"/>
        <v>5.56</v>
      </c>
      <c r="H35" s="8">
        <f t="shared" si="1"/>
        <v>2.6349999999999998</v>
      </c>
      <c r="I35" s="9">
        <f t="shared" si="2"/>
        <v>2.1036700718880059</v>
      </c>
      <c r="J35" s="10"/>
    </row>
    <row r="36" spans="1:10" x14ac:dyDescent="0.3">
      <c r="A36" s="18" t="s">
        <v>43</v>
      </c>
      <c r="B36" s="19">
        <v>147.1</v>
      </c>
      <c r="C36" s="20">
        <v>5457</v>
      </c>
      <c r="D36" s="21">
        <v>5326</v>
      </c>
      <c r="E36" s="21">
        <v>2590</v>
      </c>
      <c r="F36" s="21">
        <v>1631</v>
      </c>
      <c r="G36" s="22">
        <f t="shared" si="0"/>
        <v>5.3259999999999996</v>
      </c>
      <c r="H36" s="22">
        <f t="shared" si="1"/>
        <v>2.59</v>
      </c>
      <c r="I36" s="23">
        <f t="shared" si="2"/>
        <v>3.2654812998160638</v>
      </c>
      <c r="J36" s="24"/>
    </row>
    <row r="37" spans="1:10" x14ac:dyDescent="0.3">
      <c r="A37" s="4" t="s">
        <v>44</v>
      </c>
      <c r="B37" s="5">
        <v>113.43</v>
      </c>
      <c r="C37" s="6">
        <v>4317</v>
      </c>
      <c r="D37" s="7">
        <v>4771</v>
      </c>
      <c r="E37" s="7">
        <v>3091</v>
      </c>
      <c r="F37" s="7">
        <v>2713</v>
      </c>
      <c r="G37" s="8">
        <f t="shared" si="0"/>
        <v>4.7709999999999999</v>
      </c>
      <c r="H37" s="8">
        <f t="shared" si="1"/>
        <v>3.0910000000000002</v>
      </c>
      <c r="I37" s="9">
        <f t="shared" si="2"/>
        <v>1.7585698488757833</v>
      </c>
      <c r="J37" s="10"/>
    </row>
    <row r="38" spans="1:10" x14ac:dyDescent="0.3">
      <c r="A38" s="11" t="s">
        <v>45</v>
      </c>
      <c r="B38" s="12">
        <v>23</v>
      </c>
      <c r="C38" s="13">
        <v>3375</v>
      </c>
      <c r="D38" s="14">
        <v>4639</v>
      </c>
      <c r="E38" s="14">
        <v>2903</v>
      </c>
      <c r="F38" s="14">
        <v>2251</v>
      </c>
      <c r="G38" s="15">
        <f t="shared" si="0"/>
        <v>4.6390000000000002</v>
      </c>
      <c r="H38" s="15">
        <f t="shared" si="1"/>
        <v>2.903</v>
      </c>
      <c r="I38" s="16">
        <f t="shared" si="2"/>
        <v>2.0608618391825857</v>
      </c>
      <c r="J38" s="17"/>
    </row>
    <row r="39" spans="1:10" x14ac:dyDescent="0.3">
      <c r="A39" s="18" t="s">
        <v>46</v>
      </c>
      <c r="B39" s="19">
        <v>265.83</v>
      </c>
      <c r="C39" s="20">
        <v>6634</v>
      </c>
      <c r="D39" s="21">
        <v>4541</v>
      </c>
      <c r="E39" s="21">
        <v>1210</v>
      </c>
      <c r="F39" s="21">
        <v>1241</v>
      </c>
      <c r="G39" s="22">
        <f t="shared" si="0"/>
        <v>4.5410000000000004</v>
      </c>
      <c r="H39" s="22">
        <f t="shared" si="1"/>
        <v>1.21</v>
      </c>
      <c r="I39" s="23">
        <f t="shared" si="2"/>
        <v>3.6591458501208702</v>
      </c>
      <c r="J39" s="24"/>
    </row>
    <row r="40" spans="1:10" x14ac:dyDescent="0.3">
      <c r="A40" s="18" t="s">
        <v>47</v>
      </c>
      <c r="B40" s="19">
        <v>240.55</v>
      </c>
      <c r="C40" s="20">
        <v>9293</v>
      </c>
      <c r="D40" s="21">
        <v>4467</v>
      </c>
      <c r="E40" s="21">
        <v>1210</v>
      </c>
      <c r="F40" s="21">
        <v>1215</v>
      </c>
      <c r="G40" s="22">
        <f t="shared" si="0"/>
        <v>4.4669999999999996</v>
      </c>
      <c r="H40" s="22">
        <f t="shared" si="1"/>
        <v>1.21</v>
      </c>
      <c r="I40" s="23">
        <f t="shared" si="2"/>
        <v>3.6765432098765434</v>
      </c>
      <c r="J40" s="24"/>
    </row>
    <row r="41" spans="1:10" x14ac:dyDescent="0.3">
      <c r="A41" s="18" t="s">
        <v>48</v>
      </c>
      <c r="B41" s="19">
        <v>268.29000000000002</v>
      </c>
      <c r="C41" s="20">
        <v>6666</v>
      </c>
      <c r="D41" s="21">
        <v>4290</v>
      </c>
      <c r="E41" s="21">
        <v>997</v>
      </c>
      <c r="F41" s="21">
        <v>954</v>
      </c>
      <c r="G41" s="22">
        <f t="shared" si="0"/>
        <v>4.29</v>
      </c>
      <c r="H41" s="22">
        <f t="shared" si="1"/>
        <v>0.997</v>
      </c>
      <c r="I41" s="23">
        <f t="shared" si="2"/>
        <v>4.4968553459119498</v>
      </c>
      <c r="J41" s="24"/>
    </row>
    <row r="42" spans="1:10" x14ac:dyDescent="0.3">
      <c r="A42" s="18" t="s">
        <v>49</v>
      </c>
      <c r="B42" s="19">
        <v>356.7</v>
      </c>
      <c r="C42" s="20">
        <v>10087</v>
      </c>
      <c r="D42" s="21">
        <v>3825</v>
      </c>
      <c r="E42" s="21">
        <v>28</v>
      </c>
      <c r="F42" s="21">
        <v>44</v>
      </c>
      <c r="G42" s="22">
        <f t="shared" si="0"/>
        <v>3.8250000000000002</v>
      </c>
      <c r="H42" s="22">
        <f t="shared" si="1"/>
        <v>2.8000000000000001E-2</v>
      </c>
      <c r="I42" s="23">
        <f t="shared" si="2"/>
        <v>86.931818181818187</v>
      </c>
      <c r="J42" s="24"/>
    </row>
    <row r="43" spans="1:10" x14ac:dyDescent="0.3">
      <c r="A43" s="18" t="s">
        <v>50</v>
      </c>
      <c r="B43" s="19">
        <v>135.82</v>
      </c>
      <c r="C43" s="20">
        <v>5029</v>
      </c>
      <c r="D43" s="21">
        <v>2460</v>
      </c>
      <c r="E43" s="21">
        <v>182</v>
      </c>
      <c r="F43" s="21">
        <v>218</v>
      </c>
      <c r="G43" s="22">
        <f t="shared" si="0"/>
        <v>2.46</v>
      </c>
      <c r="H43" s="22">
        <f t="shared" si="1"/>
        <v>0.182</v>
      </c>
      <c r="I43" s="23">
        <f t="shared" si="2"/>
        <v>11.284403669724771</v>
      </c>
      <c r="J43" s="24"/>
    </row>
    <row r="44" spans="1:10" x14ac:dyDescent="0.3">
      <c r="A44" s="18" t="s">
        <v>51</v>
      </c>
      <c r="B44" s="19">
        <v>27.2</v>
      </c>
      <c r="C44" s="20">
        <v>2922</v>
      </c>
      <c r="D44" s="21">
        <v>1351</v>
      </c>
      <c r="E44" s="21">
        <v>36</v>
      </c>
      <c r="F44" s="21">
        <v>61</v>
      </c>
      <c r="G44" s="22">
        <f t="shared" si="0"/>
        <v>1.351</v>
      </c>
      <c r="H44" s="22">
        <f t="shared" si="1"/>
        <v>3.5999999999999997E-2</v>
      </c>
      <c r="I44" s="23">
        <f t="shared" si="2"/>
        <v>22.147540983606557</v>
      </c>
      <c r="J44" s="24"/>
    </row>
    <row r="46" spans="1:10" x14ac:dyDescent="0.3">
      <c r="A46" s="25" t="s">
        <v>52</v>
      </c>
      <c r="B46" s="26">
        <f>SUM(B5:B44)</f>
        <v>7068.9400000000005</v>
      </c>
      <c r="D46" s="27">
        <f>MAX(D5:D44)</f>
        <v>12306</v>
      </c>
      <c r="G46" s="28">
        <f>IFERROR(MAX(G5:G44),"")</f>
        <v>12.305999999999999</v>
      </c>
      <c r="I46" s="29">
        <f>IFERROR(AVERAGE(I5:I44),"")</f>
        <v>5.0380031054028942</v>
      </c>
    </row>
    <row r="47" spans="1:10" x14ac:dyDescent="0.3">
      <c r="A47" s="30" t="s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4.4" x14ac:dyDescent="0.3"/>
  <cols>
    <col min="1" max="1" width="26" customWidth="1"/>
    <col min="2" max="2" width="95" customWidth="1"/>
  </cols>
  <sheetData>
    <row r="1" spans="1:2" ht="16.8" x14ac:dyDescent="0.3">
      <c r="A1" s="31" t="s">
        <v>54</v>
      </c>
    </row>
    <row r="3" spans="1:2" ht="30" customHeight="1" x14ac:dyDescent="0.3">
      <c r="A3" s="32" t="s">
        <v>55</v>
      </c>
      <c r="B3" s="33" t="s">
        <v>56</v>
      </c>
    </row>
    <row r="4" spans="1:2" ht="30" customHeight="1" x14ac:dyDescent="0.3">
      <c r="A4" s="32" t="s">
        <v>57</v>
      </c>
      <c r="B4" s="33" t="s">
        <v>58</v>
      </c>
    </row>
    <row r="5" spans="1:2" ht="30" customHeight="1" x14ac:dyDescent="0.3">
      <c r="A5" s="32" t="s">
        <v>59</v>
      </c>
      <c r="B5" s="33" t="s">
        <v>60</v>
      </c>
    </row>
    <row r="6" spans="1:2" ht="30" customHeight="1" x14ac:dyDescent="0.3">
      <c r="A6" s="32" t="s">
        <v>61</v>
      </c>
      <c r="B6" s="33" t="s">
        <v>62</v>
      </c>
    </row>
    <row r="7" spans="1:2" ht="30" customHeight="1" x14ac:dyDescent="0.3">
      <c r="A7" s="32" t="s">
        <v>63</v>
      </c>
      <c r="B7" s="33" t="s">
        <v>64</v>
      </c>
    </row>
    <row r="8" spans="1:2" ht="30" customHeight="1" x14ac:dyDescent="0.3">
      <c r="A8" s="32" t="s">
        <v>65</v>
      </c>
      <c r="B8" s="33" t="s">
        <v>66</v>
      </c>
    </row>
    <row r="9" spans="1:2" ht="30" customHeight="1" x14ac:dyDescent="0.3">
      <c r="A9" s="32" t="s">
        <v>67</v>
      </c>
      <c r="B9" s="33" t="s">
        <v>68</v>
      </c>
    </row>
    <row r="10" spans="1:2" ht="30" customHeight="1" x14ac:dyDescent="0.3">
      <c r="A10" s="32" t="s">
        <v>69</v>
      </c>
      <c r="B10" s="33" t="s">
        <v>70</v>
      </c>
    </row>
    <row r="11" spans="1:2" ht="30" customHeight="1" x14ac:dyDescent="0.3">
      <c r="A11" s="32" t="s">
        <v>71</v>
      </c>
      <c r="B11" s="33" t="s">
        <v>72</v>
      </c>
    </row>
    <row r="12" spans="1:2" ht="30" customHeight="1" x14ac:dyDescent="0.3">
      <c r="A12" s="32" t="s">
        <v>73</v>
      </c>
      <c r="B12" s="33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Distâncias</vt:lpstr>
      <vt:lpstr>Premissas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Maxsander dos Santos Vilela</cp:lastModifiedBy>
  <dcterms:created xsi:type="dcterms:W3CDTF">2026-09-17T14:13:00Z</dcterms:created>
  <dcterms:modified xsi:type="dcterms:W3CDTF">2026-09-17T14:13:09Z</dcterms:modified>
</cp:coreProperties>
</file>