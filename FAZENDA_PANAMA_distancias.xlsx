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344B7CC7-89BD-46CF-B0AC-C049E6DA216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B30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30" i="1" s="1"/>
  <c r="H5" i="1"/>
  <c r="G5" i="1"/>
  <c r="G30" i="1" s="1"/>
</calcChain>
</file>

<file path=xl/sharedStrings.xml><?xml version="1.0" encoding="utf-8"?>
<sst xmlns="http://schemas.openxmlformats.org/spreadsheetml/2006/main" count="59" uniqueCount="59">
  <si>
    <t>FAZENDA PANAMA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</si>
  <si>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</si>
  <si>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</si>
  <si>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</si>
  <si>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</si>
  <si>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</si>
  <si>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</si>
  <si>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</si>
  <si>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</si>
  <si>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</si>
  <si>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</si>
  <si>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</si>
  <si>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P-23</t>
  </si>
  <si>
    <t>T-03</t>
  </si>
  <si>
    <t>P-19</t>
  </si>
  <si>
    <t>T-06</t>
  </si>
  <si>
    <t>T-09</t>
  </si>
  <si>
    <t>T-02</t>
  </si>
  <si>
    <t>P-15</t>
  </si>
  <si>
    <t>T-05</t>
  </si>
  <si>
    <t>T-01</t>
  </si>
  <si>
    <t>T-04</t>
  </si>
  <si>
    <t>T-12</t>
  </si>
  <si>
    <t>T-14</t>
  </si>
  <si>
    <t>P-22</t>
  </si>
  <si>
    <t>P-20</t>
  </si>
  <si>
    <t>T-08</t>
  </si>
  <si>
    <t>T-07</t>
  </si>
  <si>
    <t>T-11</t>
  </si>
  <si>
    <t>T-10</t>
  </si>
  <si>
    <t>P-16</t>
  </si>
  <si>
    <t>T-13</t>
  </si>
  <si>
    <t>P-21</t>
  </si>
  <si>
    <t>P-18</t>
  </si>
  <si>
    <t>T-16</t>
  </si>
  <si>
    <t>P-17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</si>
  <si>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</si>
  <si>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</si>
  <si>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</si>
  <si>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</si>
  <si>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(-13.759291, -58.743484).</t>
  </si>
  <si>
    <t>Talhões</t>
  </si>
  <si>
    <t>24 polígonos da pasta FAZENDA PANAMA.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</si>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</sst>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126.4</v>
      </c>
      <c r="C5" s="6">
        <v>4651</v>
      </c>
      <c r="D5" s="7">
        <v>7922</v>
      </c>
      <c r="E5" s="7">
        <v>6651</v>
      </c>
      <c r="F5" s="7">
        <v>3350</v>
      </c>
      <c r="G5" s="8">
        <f t="shared" ref="G5:G28" si="0">D5/1000</f>
        <v>7.9219999999999997</v>
      </c>
      <c r="H5" s="8">
        <f t="shared" ref="H5:H28" si="1">E5/1000</f>
        <v>6.6509999999999998</v>
      </c>
      <c r="I5" s="9">
        <f t="shared" ref="I5:I28" si="2">IFERROR(D5/F5,"")</f>
        <v>2.3647761194029853</v>
      </c>
      <c r="J5" s="10"/>
    </row>
    <row r="6" spans="1:10" x14ac:dyDescent="0.3">
      <c r="A6" s="11" t="s">
        <v>13</v>
      </c>
      <c r="B6" s="12">
        <v>73.69</v>
      </c>
      <c r="C6" s="13">
        <v>4875</v>
      </c>
      <c r="D6" s="14">
        <v>7278</v>
      </c>
      <c r="E6" s="14">
        <v>5205</v>
      </c>
      <c r="F6" s="14">
        <v>3796</v>
      </c>
      <c r="G6" s="15">
        <f t="shared" si="0"/>
        <v>7.2779999999999996</v>
      </c>
      <c r="H6" s="15">
        <f t="shared" si="1"/>
        <v>5.2050000000000001</v>
      </c>
      <c r="I6" s="16">
        <f t="shared" si="2"/>
        <v>1.9172813487881981</v>
      </c>
      <c r="J6" s="17"/>
    </row>
    <row r="7" spans="1:10" x14ac:dyDescent="0.3">
      <c r="A7" s="4" t="s">
        <v>14</v>
      </c>
      <c r="B7" s="5">
        <v>128.74</v>
      </c>
      <c r="C7" s="6">
        <v>4709</v>
      </c>
      <c r="D7" s="7">
        <v>6702</v>
      </c>
      <c r="E7" s="7">
        <v>5660</v>
      </c>
      <c r="F7" s="7">
        <v>2722</v>
      </c>
      <c r="G7" s="8">
        <f t="shared" si="0"/>
        <v>6.702</v>
      </c>
      <c r="H7" s="8">
        <f t="shared" si="1"/>
        <v>5.66</v>
      </c>
      <c r="I7" s="9">
        <f t="shared" si="2"/>
        <v>2.4621601763409258</v>
      </c>
      <c r="J7" s="10"/>
    </row>
    <row r="8" spans="1:10" x14ac:dyDescent="0.3">
      <c r="A8" s="11" t="s">
        <v>15</v>
      </c>
      <c r="B8" s="12">
        <v>165.19</v>
      </c>
      <c r="C8" s="13">
        <v>5893</v>
      </c>
      <c r="D8" s="14">
        <v>6546</v>
      </c>
      <c r="E8" s="14">
        <v>4078</v>
      </c>
      <c r="F8" s="14">
        <v>2870</v>
      </c>
      <c r="G8" s="15">
        <f t="shared" si="0"/>
        <v>6.5460000000000003</v>
      </c>
      <c r="H8" s="15">
        <f t="shared" si="1"/>
        <v>4.0780000000000003</v>
      </c>
      <c r="I8" s="16">
        <f t="shared" si="2"/>
        <v>2.2808362369337978</v>
      </c>
      <c r="J8" s="17"/>
    </row>
    <row r="9" spans="1:10" x14ac:dyDescent="0.3">
      <c r="A9" s="4" t="s">
        <v>16</v>
      </c>
      <c r="B9" s="5">
        <v>185.59</v>
      </c>
      <c r="C9" s="6">
        <v>6451</v>
      </c>
      <c r="D9" s="7">
        <v>6237</v>
      </c>
      <c r="E9" s="7">
        <v>3001</v>
      </c>
      <c r="F9" s="7">
        <v>2159</v>
      </c>
      <c r="G9" s="8">
        <f t="shared" si="0"/>
        <v>6.2370000000000001</v>
      </c>
      <c r="H9" s="8">
        <f t="shared" si="1"/>
        <v>3.0009999999999999</v>
      </c>
      <c r="I9" s="9">
        <f t="shared" si="2"/>
        <v>2.8888374247336728</v>
      </c>
      <c r="J9" s="10"/>
    </row>
    <row r="10" spans="1:10" x14ac:dyDescent="0.3">
      <c r="A10" s="11" t="s">
        <v>17</v>
      </c>
      <c r="B10" s="12">
        <v>93.91</v>
      </c>
      <c r="C10" s="13">
        <v>4667</v>
      </c>
      <c r="D10" s="14">
        <v>5725</v>
      </c>
      <c r="E10" s="14">
        <v>3441</v>
      </c>
      <c r="F10" s="14">
        <v>3453</v>
      </c>
      <c r="G10" s="15">
        <f t="shared" si="0"/>
        <v>5.7249999999999996</v>
      </c>
      <c r="H10" s="15">
        <f t="shared" si="1"/>
        <v>3.4409999999999998</v>
      </c>
      <c r="I10" s="16">
        <f t="shared" si="2"/>
        <v>1.6579785693599769</v>
      </c>
      <c r="J10" s="17"/>
    </row>
    <row r="11" spans="1:10" x14ac:dyDescent="0.3">
      <c r="A11" s="18" t="s">
        <v>18</v>
      </c>
      <c r="B11" s="19">
        <v>111.43</v>
      </c>
      <c r="C11" s="20">
        <v>5109</v>
      </c>
      <c r="D11" s="21">
        <v>5711</v>
      </c>
      <c r="E11" s="21">
        <v>5003</v>
      </c>
      <c r="F11" s="21">
        <v>1838</v>
      </c>
      <c r="G11" s="22">
        <f t="shared" si="0"/>
        <v>5.7110000000000003</v>
      </c>
      <c r="H11" s="22">
        <f t="shared" si="1"/>
        <v>5.0030000000000001</v>
      </c>
      <c r="I11" s="23">
        <f t="shared" si="2"/>
        <v>3.1071817192600655</v>
      </c>
      <c r="J11" s="24"/>
    </row>
    <row r="12" spans="1:10" x14ac:dyDescent="0.3">
      <c r="A12" s="11" t="s">
        <v>19</v>
      </c>
      <c r="B12" s="12">
        <v>205.66</v>
      </c>
      <c r="C12" s="13">
        <v>5951</v>
      </c>
      <c r="D12" s="14">
        <v>5262</v>
      </c>
      <c r="E12" s="14">
        <v>2335</v>
      </c>
      <c r="F12" s="14">
        <v>2356</v>
      </c>
      <c r="G12" s="15">
        <f t="shared" si="0"/>
        <v>5.2619999999999996</v>
      </c>
      <c r="H12" s="15">
        <f t="shared" si="1"/>
        <v>2.335</v>
      </c>
      <c r="I12" s="16">
        <f t="shared" si="2"/>
        <v>2.2334465195246178</v>
      </c>
      <c r="J12" s="17"/>
    </row>
    <row r="13" spans="1:10" x14ac:dyDescent="0.3">
      <c r="A13" s="4" t="s">
        <v>20</v>
      </c>
      <c r="B13" s="5">
        <v>59.49</v>
      </c>
      <c r="C13" s="6">
        <v>4192</v>
      </c>
      <c r="D13" s="7">
        <v>5158</v>
      </c>
      <c r="E13" s="7">
        <v>3441</v>
      </c>
      <c r="F13" s="7">
        <v>3468</v>
      </c>
      <c r="G13" s="8">
        <f t="shared" si="0"/>
        <v>5.1580000000000004</v>
      </c>
      <c r="H13" s="8">
        <f t="shared" si="1"/>
        <v>3.4409999999999998</v>
      </c>
      <c r="I13" s="9">
        <f t="shared" si="2"/>
        <v>1.4873125720876585</v>
      </c>
      <c r="J13" s="10"/>
    </row>
    <row r="14" spans="1:10" x14ac:dyDescent="0.3">
      <c r="A14" s="11" t="s">
        <v>21</v>
      </c>
      <c r="B14" s="12">
        <v>205.61</v>
      </c>
      <c r="C14" s="13">
        <v>5931</v>
      </c>
      <c r="D14" s="14">
        <v>5158</v>
      </c>
      <c r="E14" s="14">
        <v>2335</v>
      </c>
      <c r="F14" s="14">
        <v>2368</v>
      </c>
      <c r="G14" s="15">
        <f t="shared" si="0"/>
        <v>5.1580000000000004</v>
      </c>
      <c r="H14" s="15">
        <f t="shared" si="1"/>
        <v>2.335</v>
      </c>
      <c r="I14" s="16">
        <f t="shared" si="2"/>
        <v>2.1782094594594597</v>
      </c>
      <c r="J14" s="17"/>
    </row>
    <row r="15" spans="1:10" x14ac:dyDescent="0.3">
      <c r="A15" s="4" t="s">
        <v>22</v>
      </c>
      <c r="B15" s="5">
        <v>141.49</v>
      </c>
      <c r="C15" s="6">
        <v>7024</v>
      </c>
      <c r="D15" s="7">
        <v>5102</v>
      </c>
      <c r="E15" s="7">
        <v>2140</v>
      </c>
      <c r="F15" s="7">
        <v>1843</v>
      </c>
      <c r="G15" s="8">
        <f t="shared" si="0"/>
        <v>5.1020000000000003</v>
      </c>
      <c r="H15" s="8">
        <f t="shared" si="1"/>
        <v>2.14</v>
      </c>
      <c r="I15" s="9">
        <f t="shared" si="2"/>
        <v>2.7683125339120997</v>
      </c>
      <c r="J15" s="10"/>
    </row>
    <row r="16" spans="1:10" x14ac:dyDescent="0.3">
      <c r="A16" s="11" t="s">
        <v>23</v>
      </c>
      <c r="B16" s="12">
        <v>81.069999999999993</v>
      </c>
      <c r="C16" s="13">
        <v>4914</v>
      </c>
      <c r="D16" s="14">
        <v>4876</v>
      </c>
      <c r="E16" s="14">
        <v>2165</v>
      </c>
      <c r="F16" s="14">
        <v>1828</v>
      </c>
      <c r="G16" s="15">
        <f t="shared" si="0"/>
        <v>4.8760000000000003</v>
      </c>
      <c r="H16" s="15">
        <f t="shared" si="1"/>
        <v>2.165</v>
      </c>
      <c r="I16" s="16">
        <f t="shared" si="2"/>
        <v>2.6673960612691467</v>
      </c>
      <c r="J16" s="17"/>
    </row>
    <row r="17" spans="1:10" x14ac:dyDescent="0.3">
      <c r="A17" s="4" t="s">
        <v>24</v>
      </c>
      <c r="B17" s="5">
        <v>104.48</v>
      </c>
      <c r="C17" s="6">
        <v>4116</v>
      </c>
      <c r="D17" s="7">
        <v>4489</v>
      </c>
      <c r="E17" s="7">
        <v>3912</v>
      </c>
      <c r="F17" s="7">
        <v>2549</v>
      </c>
      <c r="G17" s="8">
        <f t="shared" si="0"/>
        <v>4.4889999999999999</v>
      </c>
      <c r="H17" s="8">
        <f t="shared" si="1"/>
        <v>3.9119999999999999</v>
      </c>
      <c r="I17" s="9">
        <f t="shared" si="2"/>
        <v>1.7610827775598275</v>
      </c>
      <c r="J17" s="10"/>
    </row>
    <row r="18" spans="1:10" x14ac:dyDescent="0.3">
      <c r="A18" s="18" t="s">
        <v>25</v>
      </c>
      <c r="B18" s="19">
        <v>115.16</v>
      </c>
      <c r="C18" s="20">
        <v>4391</v>
      </c>
      <c r="D18" s="21">
        <v>4343</v>
      </c>
      <c r="E18" s="21">
        <v>3256</v>
      </c>
      <c r="F18" s="21">
        <v>1059</v>
      </c>
      <c r="G18" s="22">
        <f t="shared" si="0"/>
        <v>4.343</v>
      </c>
      <c r="H18" s="22">
        <f t="shared" si="1"/>
        <v>3.2559999999999998</v>
      </c>
      <c r="I18" s="23">
        <f t="shared" si="2"/>
        <v>4.1010387157695938</v>
      </c>
      <c r="J18" s="24"/>
    </row>
    <row r="19" spans="1:10" x14ac:dyDescent="0.3">
      <c r="A19" s="18" t="s">
        <v>26</v>
      </c>
      <c r="B19" s="19">
        <v>202.95</v>
      </c>
      <c r="C19" s="20">
        <v>5923</v>
      </c>
      <c r="D19" s="21">
        <v>4156</v>
      </c>
      <c r="E19" s="21">
        <v>1262</v>
      </c>
      <c r="F19" s="21">
        <v>1272</v>
      </c>
      <c r="G19" s="22">
        <f t="shared" si="0"/>
        <v>4.1559999999999997</v>
      </c>
      <c r="H19" s="22">
        <f t="shared" si="1"/>
        <v>1.262</v>
      </c>
      <c r="I19" s="23">
        <f t="shared" si="2"/>
        <v>3.2672955974842766</v>
      </c>
      <c r="J19" s="24"/>
    </row>
    <row r="20" spans="1:10" x14ac:dyDescent="0.3">
      <c r="A20" s="18" t="s">
        <v>27</v>
      </c>
      <c r="B20" s="19">
        <v>200.1</v>
      </c>
      <c r="C20" s="20">
        <v>5875</v>
      </c>
      <c r="D20" s="21">
        <v>4041</v>
      </c>
      <c r="E20" s="21">
        <v>1262</v>
      </c>
      <c r="F20" s="21">
        <v>1280</v>
      </c>
      <c r="G20" s="22">
        <f t="shared" si="0"/>
        <v>4.0410000000000004</v>
      </c>
      <c r="H20" s="22">
        <f t="shared" si="1"/>
        <v>1.262</v>
      </c>
      <c r="I20" s="23">
        <f t="shared" si="2"/>
        <v>3.1570312500000002</v>
      </c>
      <c r="J20" s="24"/>
    </row>
    <row r="21" spans="1:10" x14ac:dyDescent="0.3">
      <c r="A21" s="18" t="s">
        <v>28</v>
      </c>
      <c r="B21" s="19">
        <v>181.52</v>
      </c>
      <c r="C21" s="20">
        <v>7622</v>
      </c>
      <c r="D21" s="21">
        <v>3054</v>
      </c>
      <c r="E21" s="21">
        <v>381</v>
      </c>
      <c r="F21" s="21">
        <v>258</v>
      </c>
      <c r="G21" s="22">
        <f t="shared" si="0"/>
        <v>3.0539999999999998</v>
      </c>
      <c r="H21" s="22">
        <f t="shared" si="1"/>
        <v>0.38100000000000001</v>
      </c>
      <c r="I21" s="23">
        <f t="shared" si="2"/>
        <v>11.837209302325581</v>
      </c>
      <c r="J21" s="24"/>
    </row>
    <row r="22" spans="1:10" x14ac:dyDescent="0.3">
      <c r="A22" s="18" t="s">
        <v>29</v>
      </c>
      <c r="B22" s="19">
        <v>171.85</v>
      </c>
      <c r="C22" s="20">
        <v>5764</v>
      </c>
      <c r="D22" s="21">
        <v>2943</v>
      </c>
      <c r="E22" s="21">
        <v>211</v>
      </c>
      <c r="F22" s="21">
        <v>154</v>
      </c>
      <c r="G22" s="22">
        <f t="shared" si="0"/>
        <v>2.9430000000000001</v>
      </c>
      <c r="H22" s="22">
        <f t="shared" si="1"/>
        <v>0.21099999999999999</v>
      </c>
      <c r="I22" s="23">
        <f t="shared" si="2"/>
        <v>19.11038961038961</v>
      </c>
      <c r="J22" s="24"/>
    </row>
    <row r="23" spans="1:10" x14ac:dyDescent="0.3">
      <c r="A23" s="18" t="s">
        <v>30</v>
      </c>
      <c r="B23" s="19">
        <v>94.93</v>
      </c>
      <c r="C23" s="20">
        <v>4729</v>
      </c>
      <c r="D23" s="21">
        <v>2808</v>
      </c>
      <c r="E23" s="21">
        <v>211</v>
      </c>
      <c r="F23" s="21">
        <v>179</v>
      </c>
      <c r="G23" s="22">
        <f t="shared" si="0"/>
        <v>2.8079999999999998</v>
      </c>
      <c r="H23" s="22">
        <f t="shared" si="1"/>
        <v>0.21099999999999999</v>
      </c>
      <c r="I23" s="23">
        <f t="shared" si="2"/>
        <v>15.687150837988828</v>
      </c>
      <c r="J23" s="24"/>
    </row>
    <row r="24" spans="1:10" x14ac:dyDescent="0.3">
      <c r="A24" s="18" t="s">
        <v>31</v>
      </c>
      <c r="B24" s="19">
        <v>56.86</v>
      </c>
      <c r="C24" s="20">
        <v>4026</v>
      </c>
      <c r="D24" s="21">
        <v>2463</v>
      </c>
      <c r="E24" s="21">
        <v>601</v>
      </c>
      <c r="F24" s="21">
        <v>308</v>
      </c>
      <c r="G24" s="22">
        <f t="shared" si="0"/>
        <v>2.4630000000000001</v>
      </c>
      <c r="H24" s="22">
        <f t="shared" si="1"/>
        <v>0.60099999999999998</v>
      </c>
      <c r="I24" s="23">
        <f t="shared" si="2"/>
        <v>7.9967532467532472</v>
      </c>
      <c r="J24" s="24"/>
    </row>
    <row r="25" spans="1:10" x14ac:dyDescent="0.3">
      <c r="A25" s="4" t="s">
        <v>32</v>
      </c>
      <c r="B25" s="5">
        <v>148.24</v>
      </c>
      <c r="C25" s="6">
        <v>4904</v>
      </c>
      <c r="D25" s="7">
        <v>2325</v>
      </c>
      <c r="E25" s="7">
        <v>1424</v>
      </c>
      <c r="F25" s="7">
        <v>1045</v>
      </c>
      <c r="G25" s="8">
        <f t="shared" si="0"/>
        <v>2.3250000000000002</v>
      </c>
      <c r="H25" s="8">
        <f t="shared" si="1"/>
        <v>1.4239999999999999</v>
      </c>
      <c r="I25" s="9">
        <f t="shared" si="2"/>
        <v>2.2248803827751198</v>
      </c>
      <c r="J25" s="10"/>
    </row>
    <row r="26" spans="1:10" x14ac:dyDescent="0.3">
      <c r="A26" s="11" t="s">
        <v>33</v>
      </c>
      <c r="B26" s="12">
        <v>136.31</v>
      </c>
      <c r="C26" s="13">
        <v>4890</v>
      </c>
      <c r="D26" s="14">
        <v>2093</v>
      </c>
      <c r="E26" s="14">
        <v>1063</v>
      </c>
      <c r="F26" s="14">
        <v>1018</v>
      </c>
      <c r="G26" s="15">
        <f t="shared" si="0"/>
        <v>2.093</v>
      </c>
      <c r="H26" s="15">
        <f t="shared" si="1"/>
        <v>1.0629999999999999</v>
      </c>
      <c r="I26" s="16">
        <f t="shared" si="2"/>
        <v>2.0559921414538311</v>
      </c>
      <c r="J26" s="17"/>
    </row>
    <row r="27" spans="1:10" x14ac:dyDescent="0.3">
      <c r="A27" s="4" t="s">
        <v>34</v>
      </c>
      <c r="B27" s="5">
        <v>70.63</v>
      </c>
      <c r="C27" s="6">
        <v>4030</v>
      </c>
      <c r="D27" s="7">
        <v>1682</v>
      </c>
      <c r="E27" s="7">
        <v>937</v>
      </c>
      <c r="F27" s="7">
        <v>591</v>
      </c>
      <c r="G27" s="8">
        <f t="shared" si="0"/>
        <v>1.6819999999999999</v>
      </c>
      <c r="H27" s="8">
        <f t="shared" si="1"/>
        <v>0.93700000000000006</v>
      </c>
      <c r="I27" s="9">
        <f t="shared" si="2"/>
        <v>2.8460236886632826</v>
      </c>
      <c r="J27" s="10"/>
    </row>
    <row r="28" spans="1:10" x14ac:dyDescent="0.3">
      <c r="A28" s="18" t="s">
        <v>35</v>
      </c>
      <c r="B28" s="19">
        <v>113.44</v>
      </c>
      <c r="C28" s="20">
        <v>4389</v>
      </c>
      <c r="D28" s="21">
        <v>1661</v>
      </c>
      <c r="E28" s="21">
        <v>283</v>
      </c>
      <c r="F28" s="21">
        <v>240</v>
      </c>
      <c r="G28" s="22">
        <f t="shared" si="0"/>
        <v>1.661</v>
      </c>
      <c r="H28" s="22">
        <f t="shared" si="1"/>
        <v>0.28299999999999997</v>
      </c>
      <c r="I28" s="23">
        <f t="shared" si="2"/>
        <v>6.9208333333333334</v>
      </c>
      <c r="J28" s="24"/>
    </row>
    <row r="30" spans="1:10" x14ac:dyDescent="0.3">
      <c r="A30" s="25" t="s">
        <v>36</v>
      </c>
      <c r="B30" s="26">
        <f>SUM(B5:B28)</f>
        <v>3174.74</v>
      </c>
      <c r="D30" s="27">
        <f>MAX(D5:D28)</f>
        <v>7922</v>
      </c>
      <c r="G30" s="28">
        <f>IFERROR(MAX(G5:G28),"")</f>
        <v>7.9219999999999997</v>
      </c>
      <c r="I30" s="29">
        <f>IFERROR(AVERAGE(I5:I28),"")</f>
        <v>4.5408087343987136</v>
      </c>
    </row>
    <row r="31" spans="1:10" x14ac:dyDescent="0.3">
      <c r="A31" s="30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38</v>
      </c>
    </row>
    <row r="3" spans="1:2" ht="30" customHeight="1" x14ac:dyDescent="0.3">
      <c r="A3" s="32" t="s">
        <v>39</v>
      </c>
      <c r="B3" s="33" t="s">
        <v>40</v>
      </c>
    </row>
    <row r="4" spans="1:2" ht="30" customHeight="1" x14ac:dyDescent="0.3">
      <c r="A4" s="32" t="s">
        <v>41</v>
      </c>
      <c r="B4" s="33" t="s">
        <v>42</v>
      </c>
    </row>
    <row r="5" spans="1:2" ht="30" customHeight="1" x14ac:dyDescent="0.3">
      <c r="A5" s="32" t="s">
        <v>43</v>
      </c>
      <c r="B5" s="33" t="s">
        <v>44</v>
      </c>
    </row>
    <row r="6" spans="1:2" ht="30" customHeight="1" x14ac:dyDescent="0.3">
      <c r="A6" s="32" t="s">
        <v>45</v>
      </c>
      <c r="B6" s="33" t="s">
        <v>46</v>
      </c>
    </row>
    <row r="7" spans="1:2" ht="30" customHeight="1" x14ac:dyDescent="0.3">
      <c r="A7" s="32" t="s">
        <v>47</v>
      </c>
      <c r="B7" s="33" t="s">
        <v>48</v>
      </c>
    </row>
    <row r="8" spans="1:2" ht="30" customHeight="1" x14ac:dyDescent="0.3">
      <c r="A8" s="32" t="s">
        <v>49</v>
      </c>
      <c r="B8" s="33" t="s">
        <v>50</v>
      </c>
    </row>
    <row r="9" spans="1:2" ht="30" customHeight="1" x14ac:dyDescent="0.3">
      <c r="A9" s="32" t="s">
        <v>51</v>
      </c>
      <c r="B9" s="33" t="s">
        <v>52</v>
      </c>
    </row>
    <row r="10" spans="1:2" ht="30" customHeight="1" x14ac:dyDescent="0.3">
      <c r="A10" s="32" t="s">
        <v>53</v>
      </c>
      <c r="B10" s="33" t="s">
        <v>54</v>
      </c>
    </row>
    <row r="11" spans="1:2" ht="30" customHeight="1" x14ac:dyDescent="0.3">
      <c r="A11" s="32" t="s">
        <v>55</v>
      </c>
      <c r="B11" s="33" t="s">
        <v>56</v>
      </c>
    </row>
    <row r="12" spans="1:2" ht="30" customHeight="1" x14ac:dyDescent="0.3">
      <c r="A12" s="32" t="s">
        <v>57</v>
      </c>
      <c r="B12" s="33" t="s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2026-09-17T16:11:42Z</dcterms:created>
  <dcterms:modified xsi:type="dcterms:W3CDTF">2026-09-17T16:11:52Z</dcterms:modified>
</cp:coreProperties>
</file>