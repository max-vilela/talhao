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istâncias" sheetId="1" state="visible" r:id="rId3"/>
    <sheet name="Premissa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<sst xmlns="http://schemas.openxmlformats.org/spreadsheetml/2006/main" count="63" uniqueCount="63">
  <si>
    <t xml:space="preserve">FAZENDA MATO GROSSO — distância dos talhões até a sede</t>
  </si>
  <si>
    <t xml:space="preserve">Percurso pelas estradas/carreadores, até o ponto mais extremo do talhão.</t>
  </si>
  <si>
    <t xml:space="preserve">Talhão</t>
  </si>
  <si>
    <t xml:space="preserve">Área (ha)</t>
  </si>
  <si>
    <t xml:space="preserve">Perímetro (m)</t>
  </si>
  <si>
    <t xml:space="preserve">Dist. máxima (m)</t>
  </si>
  <si>
    <t xml:space="preserve">Dist. mínima (m)</t>
  </si>
  <si>
    <t xml:space="preserve">Linha reta (m)</t>
  </si>
  <si>
    <t xml:space="preserve">Máxima (km)</t>
  </si>
  <si>
    <t xml:space="preserve">Mínima (km)</t>
  </si>
  <si>
    <t xml:space="preserve">Fator estrada/reta</t>
  </si>
  <si>
    <t xml:space="preserve">Observação</t>
  </si>
  <si>
    <t xml:space="preserve">T-04</t>
  </si>
  <si>
    <t xml:space="preserve">T-08</t>
  </si>
  <si>
    <t xml:space="preserve">T-17</t>
  </si>
  <si>
    <t xml:space="preserve">T-03</t>
  </si>
  <si>
    <t xml:space="preserve">P-26</t>
  </si>
  <si>
    <t xml:space="preserve">T-12</t>
  </si>
  <si>
    <t xml:space="preserve">T-01</t>
  </si>
  <si>
    <t xml:space="preserve">T-16</t>
  </si>
  <si>
    <t xml:space="preserve">T-07</t>
  </si>
  <si>
    <t xml:space="preserve">T-02</t>
  </si>
  <si>
    <t xml:space="preserve">T-21</t>
  </si>
  <si>
    <t xml:space="preserve">T-11A</t>
  </si>
  <si>
    <t xml:space="preserve">T-15</t>
  </si>
  <si>
    <t xml:space="preserve">T-06</t>
  </si>
  <si>
    <t xml:space="preserve">T-11</t>
  </si>
  <si>
    <t xml:space="preserve">T-05</t>
  </si>
  <si>
    <t xml:space="preserve">T-21R</t>
  </si>
  <si>
    <t xml:space="preserve">A-01</t>
  </si>
  <si>
    <t xml:space="preserve">T-20</t>
  </si>
  <si>
    <t xml:space="preserve">T-10A</t>
  </si>
  <si>
    <t xml:space="preserve">T-19</t>
  </si>
  <si>
    <t xml:space="preserve">T-10</t>
  </si>
  <si>
    <t xml:space="preserve">T-09</t>
  </si>
  <si>
    <t xml:space="preserve">P-02</t>
  </si>
  <si>
    <t xml:space="preserve">T-14</t>
  </si>
  <si>
    <t xml:space="preserve">T-18</t>
  </si>
  <si>
    <t xml:space="preserve">R-08</t>
  </si>
  <si>
    <t xml:space="preserve">T-13</t>
  </si>
  <si>
    <t xml:space="preserve">TOTAL / MÁXIMO</t>
  </si>
  <si>
    <t xml:space="preserve">Fundo amarelo = precisa de conferência: fator ≥ 3,0, ligação suposta, ou talhão sem estrada. Veja a coluna Observação.</t>
  </si>
  <si>
    <t xml:space="preserve">Como estes números foram calculados</t>
  </si>
  <si>
    <t xml:space="preserve">Origem</t>
  </si>
  <si>
    <t xml:space="preserve">Ponto de sede do projeto do Google Earth (-13.825901, -59.164748).</t>
  </si>
  <si>
    <t xml:space="preserve">Talhões</t>
  </si>
  <si>
    <t xml:space="preserve">28 polígonos da pasta FAZENDA MATO GROSSO.</t>
  </si>
  <si>
    <t xml:space="preserve">Malha de estradas</t>
  </si>
  <si>
    <t xml:space="preserve">Divisas dos talhões (os carreadores correm nas divisas), costuradas onde talhões vizinhos são separados pela faixa do carreador (até 45 m), mais as estradas de dados/estradas_extra.json.</t>
  </si>
  <si>
    <t xml:space="preserve">Dist. máxima</t>
  </si>
  <si>
    <t xml:space="preserve">Menor caminho pela estrada, da sede até o ponto MAIS EXTREMO do perímetro do talhão. Não corta por dentro da lavoura.</t>
  </si>
  <si>
    <t xml:space="preserve">Dist. mínima</t>
  </si>
  <si>
    <t xml:space="preserve">Menor caminho pela estrada, da sede até o ponto de acesso mais próximo.</t>
  </si>
  <si>
    <t xml:space="preserve">Linha reta</t>
  </si>
  <si>
    <t xml:space="preserve">Distância em linha reta da sede até a borda do talhão. Só referência.</t>
  </si>
  <si>
    <t xml:space="preserve">Fator</t>
  </si>
  <si>
    <t xml:space="preserve">Dist. máxima ÷ linha reta. Fator alto = rota indireta, ou estrada faltando na malha.</t>
  </si>
  <si>
    <t xml:space="preserve">Coordenadas</t>
  </si>
  <si>
    <t xml:space="preserve">SIRGAS 2000 / UTM 21S (EPSG:31981) para distâncias e áreas.</t>
  </si>
  <si>
    <t xml:space="preserve">Resolução</t>
  </si>
  <si>
    <t xml:space="preserve">Malha densificada a cada 25 m — é a precisão do 'ponto mais extremo'.</t>
  </si>
  <si>
    <t xml:space="preserve">Validação</t>
  </si>
  <si>
    <t xml:space="preserve">A malha precisa ser conferida por quem roda a fazenda. Use o arquivo _bancada.html.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</si>
</sst>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"/>
    <numFmt numFmtId="166" formatCode="#,##0"/>
    <numFmt numFmtId="167" formatCode="#,##0.00"/>
    <numFmt numFmtId="168" formatCode="0.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0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000000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3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1"/>
    <col collapsed="false" customWidth="true" hidden="false" outlineLevel="0" max="3" min="3" style="0" width="14"/>
    <col collapsed="false" customWidth="true" hidden="false" outlineLevel="0" max="5" min="4" style="0" width="16"/>
    <col collapsed="false" customWidth="true" hidden="false" outlineLevel="0" max="6" min="6" style="0" width="14"/>
    <col collapsed="false" customWidth="true" hidden="false" outlineLevel="0" max="8" min="7" style="0" width="12"/>
    <col collapsed="false" customWidth="true" hidden="false" outlineLevel="0" max="9" min="9" style="0" width="17"/>
    <col collapsed="false" customWidth="true" hidden="false" outlineLevel="0" max="10" min="10" style="0" width="3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customFormat="false" ht="15" hidden="false" customHeight="false" outlineLevel="0" collapsed="false">
      <c r="A5" s="4" t="s">
        <v>12</v>
      </c>
      <c r="B5" s="5" t="n">
        <v>69.11</v>
      </c>
      <c r="C5" s="6" t="n">
        <v>3352</v>
      </c>
      <c r="D5" s="7" t="n">
        <v>7719</v>
      </c>
      <c r="E5" s="7" t="n">
        <v>6057</v>
      </c>
      <c r="F5" s="7" t="n">
        <v>4020</v>
      </c>
      <c r="G5" s="8" t="n">
        <f aca="false">D5/1000</f>
        <v>7.719</v>
      </c>
      <c r="H5" s="8" t="n">
        <f aca="false">E5/1000</f>
        <v>6.057</v>
      </c>
      <c r="I5" s="9" t="n">
        <f aca="false">IFERROR(D5/F5,"")</f>
        <v>1.92014925373134</v>
      </c>
      <c r="J5" s="10"/>
    </row>
    <row r="6" customFormat="false" ht="15" hidden="false" customHeight="false" outlineLevel="0" collapsed="false">
      <c r="A6" s="11" t="s">
        <v>13</v>
      </c>
      <c r="B6" s="12" t="n">
        <v>94.59</v>
      </c>
      <c r="C6" s="13" t="n">
        <v>3957</v>
      </c>
      <c r="D6" s="14" t="n">
        <v>7149</v>
      </c>
      <c r="E6" s="14" t="n">
        <v>5184</v>
      </c>
      <c r="F6" s="14" t="n">
        <v>3696</v>
      </c>
      <c r="G6" s="15" t="n">
        <f aca="false">D6/1000</f>
        <v>7.149</v>
      </c>
      <c r="H6" s="15" t="n">
        <f aca="false">E6/1000</f>
        <v>5.184</v>
      </c>
      <c r="I6" s="16" t="n">
        <f aca="false">IFERROR(D6/F6,"")</f>
        <v>1.93425324675325</v>
      </c>
      <c r="J6" s="17"/>
    </row>
    <row r="7" customFormat="false" ht="15" hidden="false" customHeight="false" outlineLevel="0" collapsed="false">
      <c r="A7" s="4" t="s">
        <v>14</v>
      </c>
      <c r="B7" s="5" t="n">
        <v>106.47</v>
      </c>
      <c r="C7" s="6" t="n">
        <v>4634</v>
      </c>
      <c r="D7" s="7" t="n">
        <v>6997</v>
      </c>
      <c r="E7" s="7" t="n">
        <v>4914</v>
      </c>
      <c r="F7" s="7" t="n">
        <v>4379</v>
      </c>
      <c r="G7" s="8" t="n">
        <f aca="false">D7/1000</f>
        <v>6.997</v>
      </c>
      <c r="H7" s="8" t="n">
        <f aca="false">E7/1000</f>
        <v>4.914</v>
      </c>
      <c r="I7" s="9" t="n">
        <f aca="false">IFERROR(D7/F7,"")</f>
        <v>1.5978533911852</v>
      </c>
      <c r="J7" s="10"/>
    </row>
    <row r="8" customFormat="false" ht="15" hidden="false" customHeight="false" outlineLevel="0" collapsed="false">
      <c r="A8" s="11" t="s">
        <v>15</v>
      </c>
      <c r="B8" s="12" t="n">
        <v>124.45</v>
      </c>
      <c r="C8" s="13" t="n">
        <v>4845</v>
      </c>
      <c r="D8" s="14" t="n">
        <v>6971</v>
      </c>
      <c r="E8" s="14" t="n">
        <v>4568</v>
      </c>
      <c r="F8" s="14" t="n">
        <v>2795</v>
      </c>
      <c r="G8" s="15" t="n">
        <f aca="false">D8/1000</f>
        <v>6.971</v>
      </c>
      <c r="H8" s="15" t="n">
        <f aca="false">E8/1000</f>
        <v>4.568</v>
      </c>
      <c r="I8" s="16" t="n">
        <f aca="false">IFERROR(D8/F8,"")</f>
        <v>2.49409660107335</v>
      </c>
      <c r="J8" s="17"/>
    </row>
    <row r="9" customFormat="false" ht="15" hidden="false" customHeight="false" outlineLevel="0" collapsed="false">
      <c r="A9" s="4" t="s">
        <v>16</v>
      </c>
      <c r="B9" s="5" t="n">
        <v>38.37</v>
      </c>
      <c r="C9" s="6" t="n">
        <v>2500</v>
      </c>
      <c r="D9" s="7" t="n">
        <v>6679</v>
      </c>
      <c r="E9" s="7" t="n">
        <v>5842</v>
      </c>
      <c r="F9" s="7" t="n">
        <v>4243</v>
      </c>
      <c r="G9" s="8" t="n">
        <f aca="false">D9/1000</f>
        <v>6.679</v>
      </c>
      <c r="H9" s="8" t="n">
        <f aca="false">E9/1000</f>
        <v>5.842</v>
      </c>
      <c r="I9" s="9" t="n">
        <f aca="false">IFERROR(D9/F9,"")</f>
        <v>1.57412208343153</v>
      </c>
      <c r="J9" s="10"/>
    </row>
    <row r="10" customFormat="false" ht="15" hidden="false" customHeight="false" outlineLevel="0" collapsed="false">
      <c r="A10" s="11" t="s">
        <v>17</v>
      </c>
      <c r="B10" s="12" t="n">
        <v>123.95</v>
      </c>
      <c r="C10" s="13" t="n">
        <v>5309</v>
      </c>
      <c r="D10" s="14" t="n">
        <v>6676</v>
      </c>
      <c r="E10" s="14" t="n">
        <v>4073</v>
      </c>
      <c r="F10" s="14" t="n">
        <v>3547</v>
      </c>
      <c r="G10" s="15" t="n">
        <f aca="false">D10/1000</f>
        <v>6.676</v>
      </c>
      <c r="H10" s="15" t="n">
        <f aca="false">E10/1000</f>
        <v>4.073</v>
      </c>
      <c r="I10" s="16" t="n">
        <f aca="false">IFERROR(D10/F10,"")</f>
        <v>1.88215393290104</v>
      </c>
      <c r="J10" s="17"/>
    </row>
    <row r="11" customFormat="false" ht="15" hidden="false" customHeight="false" outlineLevel="0" collapsed="false">
      <c r="A11" s="4" t="s">
        <v>18</v>
      </c>
      <c r="B11" s="5" t="n">
        <v>151.93</v>
      </c>
      <c r="C11" s="6" t="n">
        <v>5346</v>
      </c>
      <c r="D11" s="7" t="n">
        <v>6544</v>
      </c>
      <c r="E11" s="7" t="n">
        <v>4140</v>
      </c>
      <c r="F11" s="7" t="n">
        <v>2898</v>
      </c>
      <c r="G11" s="8" t="n">
        <f aca="false">D11/1000</f>
        <v>6.544</v>
      </c>
      <c r="H11" s="8" t="n">
        <f aca="false">E11/1000</f>
        <v>4.14</v>
      </c>
      <c r="I11" s="9" t="n">
        <f aca="false">IFERROR(D11/F11,"")</f>
        <v>2.25810904071774</v>
      </c>
      <c r="J11" s="10"/>
    </row>
    <row r="12" customFormat="false" ht="15" hidden="false" customHeight="false" outlineLevel="0" collapsed="false">
      <c r="A12" s="11" t="s">
        <v>19</v>
      </c>
      <c r="B12" s="12" t="n">
        <v>151.26</v>
      </c>
      <c r="C12" s="13" t="n">
        <v>5633</v>
      </c>
      <c r="D12" s="14" t="n">
        <v>6397</v>
      </c>
      <c r="E12" s="14" t="n">
        <v>4066</v>
      </c>
      <c r="F12" s="14" t="n">
        <v>3546</v>
      </c>
      <c r="G12" s="15" t="n">
        <f aca="false">D12/1000</f>
        <v>6.397</v>
      </c>
      <c r="H12" s="15" t="n">
        <f aca="false">E12/1000</f>
        <v>4.066</v>
      </c>
      <c r="I12" s="16" t="n">
        <f aca="false">IFERROR(D12/F12,"")</f>
        <v>1.80400451212634</v>
      </c>
      <c r="J12" s="17"/>
    </row>
    <row r="13" customFormat="false" ht="15" hidden="false" customHeight="false" outlineLevel="0" collapsed="false">
      <c r="A13" s="4" t="s">
        <v>20</v>
      </c>
      <c r="B13" s="5" t="n">
        <v>133.59</v>
      </c>
      <c r="C13" s="6" t="n">
        <v>4784</v>
      </c>
      <c r="D13" s="7" t="n">
        <v>6055</v>
      </c>
      <c r="E13" s="7" t="n">
        <v>3668</v>
      </c>
      <c r="F13" s="7" t="n">
        <v>2279</v>
      </c>
      <c r="G13" s="8" t="n">
        <f aca="false">D13/1000</f>
        <v>6.055</v>
      </c>
      <c r="H13" s="8" t="n">
        <f aca="false">E13/1000</f>
        <v>3.668</v>
      </c>
      <c r="I13" s="9" t="n">
        <f aca="false">IFERROR(D13/F13,"")</f>
        <v>2.65686704695042</v>
      </c>
      <c r="J13" s="10"/>
    </row>
    <row r="14" customFormat="false" ht="15" hidden="false" customHeight="false" outlineLevel="0" collapsed="false">
      <c r="A14" s="11" t="s">
        <v>21</v>
      </c>
      <c r="B14" s="12" t="n">
        <v>99.23</v>
      </c>
      <c r="C14" s="13" t="n">
        <v>4809</v>
      </c>
      <c r="D14" s="14" t="n">
        <v>6046</v>
      </c>
      <c r="E14" s="14" t="n">
        <v>3657</v>
      </c>
      <c r="F14" s="14" t="n">
        <v>2842</v>
      </c>
      <c r="G14" s="15" t="n">
        <f aca="false">D14/1000</f>
        <v>6.046</v>
      </c>
      <c r="H14" s="15" t="n">
        <f aca="false">E14/1000</f>
        <v>3.657</v>
      </c>
      <c r="I14" s="16" t="n">
        <f aca="false">IFERROR(D14/F14,"")</f>
        <v>2.12737508796622</v>
      </c>
      <c r="J14" s="17"/>
    </row>
    <row r="15" customFormat="false" ht="15" hidden="false" customHeight="false" outlineLevel="0" collapsed="false">
      <c r="A15" s="4" t="s">
        <v>22</v>
      </c>
      <c r="B15" s="5" t="n">
        <v>75.97</v>
      </c>
      <c r="C15" s="6" t="n">
        <v>3658</v>
      </c>
      <c r="D15" s="7" t="n">
        <v>5315</v>
      </c>
      <c r="E15" s="7" t="n">
        <v>3550</v>
      </c>
      <c r="F15" s="7" t="n">
        <v>2908</v>
      </c>
      <c r="G15" s="8" t="n">
        <f aca="false">D15/1000</f>
        <v>5.315</v>
      </c>
      <c r="H15" s="8" t="n">
        <f aca="false">E15/1000</f>
        <v>3.55</v>
      </c>
      <c r="I15" s="9" t="n">
        <f aca="false">IFERROR(D15/F15,"")</f>
        <v>1.8277166437414</v>
      </c>
      <c r="J15" s="10"/>
    </row>
    <row r="16" customFormat="false" ht="15" hidden="false" customHeight="false" outlineLevel="0" collapsed="false">
      <c r="A16" s="11" t="s">
        <v>23</v>
      </c>
      <c r="B16" s="12" t="n">
        <v>77.29</v>
      </c>
      <c r="C16" s="13" t="n">
        <v>4270</v>
      </c>
      <c r="D16" s="14" t="n">
        <v>5200</v>
      </c>
      <c r="E16" s="14" t="n">
        <v>3504</v>
      </c>
      <c r="F16" s="14" t="n">
        <v>2214</v>
      </c>
      <c r="G16" s="15" t="n">
        <f aca="false">D16/1000</f>
        <v>5.2</v>
      </c>
      <c r="H16" s="15" t="n">
        <f aca="false">E16/1000</f>
        <v>3.504</v>
      </c>
      <c r="I16" s="16" t="n">
        <f aca="false">IFERROR(D16/F16,"")</f>
        <v>2.3486901535682</v>
      </c>
      <c r="J16" s="17"/>
    </row>
    <row r="17" customFormat="false" ht="15" hidden="false" customHeight="false" outlineLevel="0" collapsed="false">
      <c r="A17" s="4" t="s">
        <v>24</v>
      </c>
      <c r="B17" s="5" t="n">
        <v>200.37</v>
      </c>
      <c r="C17" s="6" t="n">
        <v>5776</v>
      </c>
      <c r="D17" s="7" t="n">
        <v>5056</v>
      </c>
      <c r="E17" s="7" t="n">
        <v>2524</v>
      </c>
      <c r="F17" s="7" t="n">
        <v>2045</v>
      </c>
      <c r="G17" s="8" t="n">
        <f aca="false">D17/1000</f>
        <v>5.056</v>
      </c>
      <c r="H17" s="8" t="n">
        <f aca="false">E17/1000</f>
        <v>2.524</v>
      </c>
      <c r="I17" s="9" t="n">
        <f aca="false">IFERROR(D17/F17,"")</f>
        <v>2.47237163814181</v>
      </c>
      <c r="J17" s="10"/>
    </row>
    <row r="18" customFormat="false" ht="15" hidden="false" customHeight="false" outlineLevel="0" collapsed="false">
      <c r="A18" s="18" t="s">
        <v>25</v>
      </c>
      <c r="B18" s="19" t="n">
        <v>180.3</v>
      </c>
      <c r="C18" s="20" t="n">
        <v>5857</v>
      </c>
      <c r="D18" s="21" t="n">
        <v>4838</v>
      </c>
      <c r="E18" s="21" t="n">
        <v>2303</v>
      </c>
      <c r="F18" s="21" t="n">
        <v>1530</v>
      </c>
      <c r="G18" s="22" t="n">
        <f aca="false">D18/1000</f>
        <v>4.838</v>
      </c>
      <c r="H18" s="22" t="n">
        <f aca="false">E18/1000</f>
        <v>2.303</v>
      </c>
      <c r="I18" s="23" t="n">
        <f aca="false">IFERROR(D18/F18,"")</f>
        <v>3.16209150326797</v>
      </c>
      <c r="J18" s="24"/>
    </row>
    <row r="19" customFormat="false" ht="15" hidden="false" customHeight="false" outlineLevel="0" collapsed="false">
      <c r="A19" s="4" t="s">
        <v>26</v>
      </c>
      <c r="B19" s="5" t="n">
        <v>98.26</v>
      </c>
      <c r="C19" s="6" t="n">
        <v>4388</v>
      </c>
      <c r="D19" s="7" t="n">
        <v>4750</v>
      </c>
      <c r="E19" s="7" t="n">
        <v>2560</v>
      </c>
      <c r="F19" s="7" t="n">
        <v>2039</v>
      </c>
      <c r="G19" s="8" t="n">
        <f aca="false">D19/1000</f>
        <v>4.75</v>
      </c>
      <c r="H19" s="8" t="n">
        <f aca="false">E19/1000</f>
        <v>2.56</v>
      </c>
      <c r="I19" s="9" t="n">
        <f aca="false">IFERROR(D19/F19,"")</f>
        <v>2.32957332025503</v>
      </c>
      <c r="J19" s="10"/>
    </row>
    <row r="20" customFormat="false" ht="15" hidden="false" customHeight="false" outlineLevel="0" collapsed="false">
      <c r="A20" s="18" t="s">
        <v>27</v>
      </c>
      <c r="B20" s="19" t="n">
        <v>130.25</v>
      </c>
      <c r="C20" s="20" t="n">
        <v>8274</v>
      </c>
      <c r="D20" s="21" t="n">
        <v>4687</v>
      </c>
      <c r="E20" s="21" t="n">
        <v>2288</v>
      </c>
      <c r="F20" s="21" t="n">
        <v>1498</v>
      </c>
      <c r="G20" s="22" t="n">
        <f aca="false">D20/1000</f>
        <v>4.687</v>
      </c>
      <c r="H20" s="22" t="n">
        <f aca="false">E20/1000</f>
        <v>2.288</v>
      </c>
      <c r="I20" s="23" t="n">
        <f aca="false">IFERROR(D20/F20,"")</f>
        <v>3.12883845126836</v>
      </c>
      <c r="J20" s="24"/>
    </row>
    <row r="21" customFormat="false" ht="15" hidden="false" customHeight="false" outlineLevel="0" collapsed="false">
      <c r="A21" s="4" t="s">
        <v>28</v>
      </c>
      <c r="B21" s="5" t="n">
        <v>37.7</v>
      </c>
      <c r="C21" s="6" t="n">
        <v>2565</v>
      </c>
      <c r="D21" s="7" t="n">
        <v>4409</v>
      </c>
      <c r="E21" s="7" t="n">
        <v>3555</v>
      </c>
      <c r="F21" s="7" t="n">
        <v>2476</v>
      </c>
      <c r="G21" s="8" t="n">
        <f aca="false">D21/1000</f>
        <v>4.409</v>
      </c>
      <c r="H21" s="8" t="n">
        <f aca="false">E21/1000</f>
        <v>3.555</v>
      </c>
      <c r="I21" s="9" t="n">
        <f aca="false">IFERROR(D21/F21,"")</f>
        <v>1.78069466882068</v>
      </c>
      <c r="J21" s="10"/>
    </row>
    <row r="22" customFormat="false" ht="15" hidden="false" customHeight="false" outlineLevel="0" collapsed="false">
      <c r="A22" s="11" t="s">
        <v>29</v>
      </c>
      <c r="B22" s="12" t="n">
        <v>37.65</v>
      </c>
      <c r="C22" s="13" t="n">
        <v>2574</v>
      </c>
      <c r="D22" s="14" t="n">
        <v>4320</v>
      </c>
      <c r="E22" s="14" t="n">
        <v>3055</v>
      </c>
      <c r="F22" s="14" t="n">
        <v>2446</v>
      </c>
      <c r="G22" s="15" t="n">
        <f aca="false">D22/1000</f>
        <v>4.32</v>
      </c>
      <c r="H22" s="15" t="n">
        <f aca="false">E22/1000</f>
        <v>3.055</v>
      </c>
      <c r="I22" s="16" t="n">
        <f aca="false">IFERROR(D22/F22,"")</f>
        <v>1.76614881439084</v>
      </c>
      <c r="J22" s="17"/>
    </row>
    <row r="23" customFormat="false" ht="15" hidden="false" customHeight="false" outlineLevel="0" collapsed="false">
      <c r="A23" s="18" t="s">
        <v>30</v>
      </c>
      <c r="B23" s="19" t="n">
        <v>135.58</v>
      </c>
      <c r="C23" s="20" t="n">
        <v>4844</v>
      </c>
      <c r="D23" s="21" t="n">
        <v>3995</v>
      </c>
      <c r="E23" s="21" t="n">
        <v>1594</v>
      </c>
      <c r="F23" s="21" t="n">
        <v>1228</v>
      </c>
      <c r="G23" s="22" t="n">
        <f aca="false">D23/1000</f>
        <v>3.995</v>
      </c>
      <c r="H23" s="22" t="n">
        <f aca="false">E23/1000</f>
        <v>1.594</v>
      </c>
      <c r="I23" s="23" t="n">
        <f aca="false">IFERROR(D23/F23,"")</f>
        <v>3.25325732899023</v>
      </c>
      <c r="J23" s="24"/>
    </row>
    <row r="24" customFormat="false" ht="15" hidden="false" customHeight="false" outlineLevel="0" collapsed="false">
      <c r="A24" s="11" t="s">
        <v>31</v>
      </c>
      <c r="B24" s="12" t="n">
        <v>25.3</v>
      </c>
      <c r="C24" s="13" t="n">
        <v>3448</v>
      </c>
      <c r="D24" s="14" t="n">
        <v>3790</v>
      </c>
      <c r="E24" s="14" t="n">
        <v>2309</v>
      </c>
      <c r="F24" s="14" t="n">
        <v>1527</v>
      </c>
      <c r="G24" s="15" t="n">
        <f aca="false">D24/1000</f>
        <v>3.79</v>
      </c>
      <c r="H24" s="15" t="n">
        <f aca="false">E24/1000</f>
        <v>2.309</v>
      </c>
      <c r="I24" s="16" t="n">
        <f aca="false">IFERROR(D24/F24,"")</f>
        <v>2.48199083169614</v>
      </c>
      <c r="J24" s="17"/>
    </row>
    <row r="25" customFormat="false" ht="15" hidden="false" customHeight="false" outlineLevel="0" collapsed="false">
      <c r="A25" s="18" t="s">
        <v>32</v>
      </c>
      <c r="B25" s="19" t="n">
        <v>177.46</v>
      </c>
      <c r="C25" s="20" t="n">
        <v>5465</v>
      </c>
      <c r="D25" s="21" t="n">
        <v>3701</v>
      </c>
      <c r="E25" s="21" t="n">
        <v>1578</v>
      </c>
      <c r="F25" s="21" t="n">
        <v>969</v>
      </c>
      <c r="G25" s="22" t="n">
        <f aca="false">D25/1000</f>
        <v>3.701</v>
      </c>
      <c r="H25" s="22" t="n">
        <f aca="false">E25/1000</f>
        <v>1.578</v>
      </c>
      <c r="I25" s="23" t="n">
        <f aca="false">IFERROR(D25/F25,"")</f>
        <v>3.81940144478844</v>
      </c>
      <c r="J25" s="24"/>
    </row>
    <row r="26" customFormat="false" ht="15" hidden="false" customHeight="false" outlineLevel="0" collapsed="false">
      <c r="A26" s="18" t="s">
        <v>33</v>
      </c>
      <c r="B26" s="19" t="n">
        <v>156.94</v>
      </c>
      <c r="C26" s="20" t="n">
        <v>5252</v>
      </c>
      <c r="D26" s="21" t="n">
        <v>3661</v>
      </c>
      <c r="E26" s="21" t="n">
        <v>1060</v>
      </c>
      <c r="F26" s="21" t="n">
        <v>567</v>
      </c>
      <c r="G26" s="22" t="n">
        <f aca="false">D26/1000</f>
        <v>3.661</v>
      </c>
      <c r="H26" s="22" t="n">
        <f aca="false">E26/1000</f>
        <v>1.06</v>
      </c>
      <c r="I26" s="23" t="n">
        <f aca="false">IFERROR(D26/F26,"")</f>
        <v>6.45679012345679</v>
      </c>
      <c r="J26" s="24"/>
    </row>
    <row r="27" customFormat="false" ht="15" hidden="false" customHeight="false" outlineLevel="0" collapsed="false">
      <c r="A27" s="18" t="s">
        <v>34</v>
      </c>
      <c r="B27" s="19" t="n">
        <v>182.48</v>
      </c>
      <c r="C27" s="20" t="n">
        <v>5481</v>
      </c>
      <c r="D27" s="21" t="n">
        <v>3275</v>
      </c>
      <c r="E27" s="21" t="n">
        <v>1060</v>
      </c>
      <c r="F27" s="21" t="n">
        <v>291</v>
      </c>
      <c r="G27" s="22" t="n">
        <f aca="false">D27/1000</f>
        <v>3.275</v>
      </c>
      <c r="H27" s="22" t="n">
        <f aca="false">E27/1000</f>
        <v>1.06</v>
      </c>
      <c r="I27" s="23" t="n">
        <f aca="false">IFERROR(D27/F27,"")</f>
        <v>11.254295532646</v>
      </c>
      <c r="J27" s="24"/>
    </row>
    <row r="28" customFormat="false" ht="15" hidden="false" customHeight="false" outlineLevel="0" collapsed="false">
      <c r="A28" s="18" t="s">
        <v>35</v>
      </c>
      <c r="B28" s="19" t="n">
        <v>78.38</v>
      </c>
      <c r="C28" s="20" t="n">
        <v>4052</v>
      </c>
      <c r="D28" s="21" t="n">
        <v>3038</v>
      </c>
      <c r="E28" s="21" t="n">
        <v>1025</v>
      </c>
      <c r="F28" s="21" t="n">
        <v>767</v>
      </c>
      <c r="G28" s="22" t="n">
        <f aca="false">D28/1000</f>
        <v>3.038</v>
      </c>
      <c r="H28" s="22" t="n">
        <f aca="false">E28/1000</f>
        <v>1.025</v>
      </c>
      <c r="I28" s="23" t="n">
        <f aca="false">IFERROR(D28/F28,"")</f>
        <v>3.96088657105606</v>
      </c>
      <c r="J28" s="24"/>
    </row>
    <row r="29" customFormat="false" ht="15" hidden="false" customHeight="false" outlineLevel="0" collapsed="false">
      <c r="A29" s="18" t="s">
        <v>36</v>
      </c>
      <c r="B29" s="19" t="n">
        <v>103.71</v>
      </c>
      <c r="C29" s="20" t="n">
        <v>4418</v>
      </c>
      <c r="D29" s="21" t="n">
        <v>2875</v>
      </c>
      <c r="E29" s="21" t="n">
        <v>685</v>
      </c>
      <c r="F29" s="21" t="n">
        <v>546</v>
      </c>
      <c r="G29" s="22" t="n">
        <f aca="false">D29/1000</f>
        <v>2.875</v>
      </c>
      <c r="H29" s="22" t="n">
        <f aca="false">E29/1000</f>
        <v>0.685</v>
      </c>
      <c r="I29" s="23" t="n">
        <f aca="false">IFERROR(D29/F29,"")</f>
        <v>5.26556776556777</v>
      </c>
      <c r="J29" s="24"/>
    </row>
    <row r="30" customFormat="false" ht="15" hidden="false" customHeight="false" outlineLevel="0" collapsed="false">
      <c r="A30" s="18" t="s">
        <v>37</v>
      </c>
      <c r="B30" s="19" t="n">
        <v>72.67</v>
      </c>
      <c r="C30" s="20" t="n">
        <v>4022</v>
      </c>
      <c r="D30" s="21" t="n">
        <v>2466</v>
      </c>
      <c r="E30" s="21" t="n">
        <v>1068</v>
      </c>
      <c r="F30" s="21" t="n">
        <v>473</v>
      </c>
      <c r="G30" s="22" t="n">
        <f aca="false">D30/1000</f>
        <v>2.466</v>
      </c>
      <c r="H30" s="22" t="n">
        <f aca="false">E30/1000</f>
        <v>1.068</v>
      </c>
      <c r="I30" s="23" t="n">
        <f aca="false">IFERROR(D30/F30,"")</f>
        <v>5.21353065539112</v>
      </c>
      <c r="J30" s="24"/>
    </row>
    <row r="31" customFormat="false" ht="15" hidden="false" customHeight="false" outlineLevel="0" collapsed="false">
      <c r="A31" s="18" t="s">
        <v>38</v>
      </c>
      <c r="B31" s="19" t="n">
        <v>53.1</v>
      </c>
      <c r="C31" s="20" t="n">
        <v>3752</v>
      </c>
      <c r="D31" s="21" t="n">
        <v>1994</v>
      </c>
      <c r="E31" s="21" t="n">
        <v>120</v>
      </c>
      <c r="F31" s="21" t="n">
        <v>121</v>
      </c>
      <c r="G31" s="22" t="n">
        <f aca="false">D31/1000</f>
        <v>1.994</v>
      </c>
      <c r="H31" s="22" t="n">
        <f aca="false">E31/1000</f>
        <v>0.12</v>
      </c>
      <c r="I31" s="23" t="n">
        <f aca="false">IFERROR(D31/F31,"")</f>
        <v>16.4793388429752</v>
      </c>
      <c r="J31" s="24"/>
    </row>
    <row r="32" customFormat="false" ht="15" hidden="false" customHeight="false" outlineLevel="0" collapsed="false">
      <c r="A32" s="18" t="s">
        <v>39</v>
      </c>
      <c r="B32" s="19" t="n">
        <v>42.11</v>
      </c>
      <c r="C32" s="20" t="n">
        <v>4288</v>
      </c>
      <c r="D32" s="21" t="n">
        <v>1981</v>
      </c>
      <c r="E32" s="21" t="n">
        <v>374</v>
      </c>
      <c r="F32" s="21" t="n">
        <v>142</v>
      </c>
      <c r="G32" s="22" t="n">
        <f aca="false">D32/1000</f>
        <v>1.981</v>
      </c>
      <c r="H32" s="22" t="n">
        <f aca="false">E32/1000</f>
        <v>0.374</v>
      </c>
      <c r="I32" s="23" t="n">
        <f aca="false">IFERROR(D32/F32,"")</f>
        <v>13.9507042253521</v>
      </c>
      <c r="J32" s="24"/>
    </row>
    <row r="34" customFormat="false" ht="15" hidden="false" customHeight="false" outlineLevel="0" collapsed="false">
      <c r="A34" s="25" t="s">
        <v>40</v>
      </c>
      <c r="B34" s="26" t="n">
        <f aca="false">SUM(B5:B32)</f>
        <v>2958.47</v>
      </c>
      <c r="D34" s="27" t="n">
        <f aca="false">MAX(IFERROR(D5:D32*1,0))</f>
        <v>0</v>
      </c>
      <c r="G34" s="28" t="n">
        <f aca="false">IFERROR(MAX(G5:G32),"")</f>
        <v>7.719</v>
      </c>
      <c r="I34" s="29" t="n">
        <f aca="false">IFERROR(AVERAGE(I5:I32),"")</f>
        <v>3.97145973972181</v>
      </c>
    </row>
    <row r="35" customFormat="false" ht="15" hidden="false" customHeight="false" outlineLevel="0" collapsed="false">
      <c r="A35" s="30" t="s">
        <v>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5"/>
  </cols>
  <sheetData>
    <row r="1" customFormat="false" ht="16.15" hidden="false" customHeight="false" outlineLevel="0" collapsed="false">
      <c r="A1" s="31" t="s">
        <v>42</v>
      </c>
    </row>
    <row r="3" customFormat="false" ht="30" hidden="false" customHeight="true" outlineLevel="0" collapsed="false">
      <c r="A3" s="32" t="s">
        <v>43</v>
      </c>
      <c r="B3" s="33" t="s">
        <v>44</v>
      </c>
    </row>
    <row r="4" customFormat="false" ht="30" hidden="false" customHeight="true" outlineLevel="0" collapsed="false">
      <c r="A4" s="32" t="s">
        <v>45</v>
      </c>
      <c r="B4" s="33" t="s">
        <v>46</v>
      </c>
    </row>
    <row r="5" customFormat="false" ht="30" hidden="false" customHeight="true" outlineLevel="0" collapsed="false">
      <c r="A5" s="32" t="s">
        <v>47</v>
      </c>
      <c r="B5" s="33" t="s">
        <v>48</v>
      </c>
    </row>
    <row r="6" customFormat="false" ht="30" hidden="false" customHeight="true" outlineLevel="0" collapsed="false">
      <c r="A6" s="32" t="s">
        <v>49</v>
      </c>
      <c r="B6" s="33" t="s">
        <v>50</v>
      </c>
    </row>
    <row r="7" customFormat="false" ht="30" hidden="false" customHeight="true" outlineLevel="0" collapsed="false">
      <c r="A7" s="32" t="s">
        <v>51</v>
      </c>
      <c r="B7" s="33" t="s">
        <v>52</v>
      </c>
    </row>
    <row r="8" customFormat="false" ht="30" hidden="false" customHeight="true" outlineLevel="0" collapsed="false">
      <c r="A8" s="32" t="s">
        <v>53</v>
      </c>
      <c r="B8" s="33" t="s">
        <v>54</v>
      </c>
    </row>
    <row r="9" customFormat="false" ht="30" hidden="false" customHeight="true" outlineLevel="0" collapsed="false">
      <c r="A9" s="32" t="s">
        <v>55</v>
      </c>
      <c r="B9" s="33" t="s">
        <v>56</v>
      </c>
    </row>
    <row r="10" customFormat="false" ht="30" hidden="false" customHeight="true" outlineLevel="0" collapsed="false">
      <c r="A10" s="32" t="s">
        <v>57</v>
      </c>
      <c r="B10" s="33" t="s">
        <v>58</v>
      </c>
    </row>
    <row r="11" customFormat="false" ht="30" hidden="false" customHeight="true" outlineLevel="0" collapsed="false">
      <c r="A11" s="32" t="s">
        <v>59</v>
      </c>
      <c r="B11" s="33" t="s">
        <v>60</v>
      </c>
    </row>
    <row r="12" customFormat="false" ht="30" hidden="false" customHeight="true" outlineLevel="0" collapsed="false">
      <c r="A12" s="32" t="s">
        <v>61</v>
      </c>
      <c r="B12" s="33" t="s">
        <v>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2026-09-14T12:32:20Z</dcterms:created>
  <dc:creator>openpyxl</dc:creator>
  <dc:description/>
  <dc:language>en-US</dc:language>
  <cp:lastModifiedBy/>
  <dcterms:modified xsi:type="dcterms:W3CDTF">2026-09-14T12:32:20Z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