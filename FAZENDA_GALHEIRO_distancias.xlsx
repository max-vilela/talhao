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70555CF8-A3C5-47C6-803A-A4F474EEDD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109" i="1" l="1"/>
  <c r="G109" i="1"/>
</calcChain>
</file>

<file path=xl/sharedStrings.xml><?xml version="1.0" encoding="utf-8"?>
<sst xmlns="http://schemas.openxmlformats.org/spreadsheetml/2006/main" count="138" uniqueCount="138">
  <si>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</si>
  <si>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</si>
  <si>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</si>
  <si>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</si>
  <si>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</si>
  <si>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</si>
  <si>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</si>
  <si>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</si>
  <si>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</si>
  <si>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</si>
  <si>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</si>
  <si>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</si>
  <si>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</si>
  <si>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</si>
  <si>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</si>
  <si>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</si>
  <si>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</si>
  <si>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</si>
  <si>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</si>
  <si>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</si>
  <si>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</si>
  <si>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</si>
  <si>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</si>
  <si>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</si>
  <si>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</si>
  <si>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</si>
  <si>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</si>
  <si>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</si>
  <si>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</si>
  <si>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</si>
  <si>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</si>
  <si>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</si>
  <si>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</si>
  <si>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</si>
  <si>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</si>
  <si>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</si>
  <si>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</si>
  <si>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</si>
  <si>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</si>
  <si>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</si>
  <si>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</si>
  <si>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</si>
  <si>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</si>
  <si>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</si>
  <si>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</si>
  <si>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</si>
  <si>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</si>
  <si>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</si>
  <si>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</si>
  <si>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</si>
  <si>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</si>
  <si>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</si>
  <si>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</si>
  <si>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</si>
  <si>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</si>
  <si>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R-17B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</si>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</sst>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37.21</v>
      </c>
      <c r="C48" s="13">
        <v>2593</v>
      </c>
      <c r="D48" s="14">
        <v>10465</v>
      </c>
      <c r="E48" s="14">
        <v>10465</v>
      </c>
      <c r="F48" s="14">
        <v>7608</v>
      </c>
      <c r="G48" s="15">
        <f t="shared" si="3"/>
        <v>10.465</v>
      </c>
      <c r="H48" s="15">
        <f t="shared" si="4"/>
        <v>10.465</v>
      </c>
      <c r="I48" s="16">
        <f t="shared" si="5"/>
        <v>1.3755257623554153</v>
      </c>
      <c r="J48" s="17"/>
    </row>
    <row r="49" spans="1:10" x14ac:dyDescent="0.3">
      <c r="A49" s="4" t="s">
        <v>56</v>
      </c>
      <c r="B49" s="5">
        <v>74.59</v>
      </c>
      <c r="C49" s="6">
        <v>3596</v>
      </c>
      <c r="D49" s="7">
        <v>10395</v>
      </c>
      <c r="E49" s="7">
        <v>9674</v>
      </c>
      <c r="F49" s="7">
        <v>7374</v>
      </c>
      <c r="G49" s="8">
        <f t="shared" si="3"/>
        <v>10.395</v>
      </c>
      <c r="H49" s="8">
        <f t="shared" si="4"/>
        <v>9.6739999999999995</v>
      </c>
      <c r="I49" s="9">
        <f t="shared" si="5"/>
        <v>1.4096826688364523</v>
      </c>
      <c r="J49" s="10"/>
    </row>
    <row r="50" spans="1:10" x14ac:dyDescent="0.3">
      <c r="A50" s="11" t="s">
        <v>57</v>
      </c>
      <c r="B50" s="12">
        <v>90.05</v>
      </c>
      <c r="C50" s="13">
        <v>4519</v>
      </c>
      <c r="D50" s="14">
        <v>10257</v>
      </c>
      <c r="E50" s="14">
        <v>7792</v>
      </c>
      <c r="F50" s="14">
        <v>4488</v>
      </c>
      <c r="G50" s="15">
        <f t="shared" si="3"/>
        <v>10.257</v>
      </c>
      <c r="H50" s="15">
        <f t="shared" si="4"/>
        <v>7.7919999999999998</v>
      </c>
      <c r="I50" s="16">
        <f t="shared" si="5"/>
        <v>2.2854278074866312</v>
      </c>
      <c r="J50" s="17"/>
    </row>
    <row r="51" spans="1:10" x14ac:dyDescent="0.3">
      <c r="A51" s="4" t="s">
        <v>58</v>
      </c>
      <c r="B51" s="5">
        <v>109.38</v>
      </c>
      <c r="C51" s="6">
        <v>5079</v>
      </c>
      <c r="D51" s="7">
        <v>10054</v>
      </c>
      <c r="E51" s="7">
        <v>7513</v>
      </c>
      <c r="F51" s="7">
        <v>5761</v>
      </c>
      <c r="G51" s="8">
        <f t="shared" si="3"/>
        <v>10.054</v>
      </c>
      <c r="H51" s="8">
        <f t="shared" si="4"/>
        <v>7.5129999999999999</v>
      </c>
      <c r="I51" s="9">
        <f t="shared" si="5"/>
        <v>1.745183127929179</v>
      </c>
      <c r="J51" s="10"/>
    </row>
    <row r="52" spans="1:10" x14ac:dyDescent="0.3">
      <c r="A52" s="11" t="s">
        <v>59</v>
      </c>
      <c r="B52" s="12">
        <v>89.46</v>
      </c>
      <c r="C52" s="13">
        <v>4696</v>
      </c>
      <c r="D52" s="14">
        <v>10005</v>
      </c>
      <c r="E52" s="14">
        <v>5779</v>
      </c>
      <c r="F52" s="14">
        <v>4316</v>
      </c>
      <c r="G52" s="15">
        <f t="shared" si="3"/>
        <v>10.005000000000001</v>
      </c>
      <c r="H52" s="15">
        <f t="shared" si="4"/>
        <v>5.7789999999999999</v>
      </c>
      <c r="I52" s="16">
        <f t="shared" si="5"/>
        <v>2.318118628359592</v>
      </c>
      <c r="J52" s="17"/>
    </row>
    <row r="53" spans="1:10" x14ac:dyDescent="0.3">
      <c r="A53" s="4" t="s">
        <v>60</v>
      </c>
      <c r="B53" s="5">
        <v>79.150000000000006</v>
      </c>
      <c r="C53" s="6">
        <v>4180</v>
      </c>
      <c r="D53" s="7">
        <v>9945</v>
      </c>
      <c r="E53" s="7">
        <v>7774</v>
      </c>
      <c r="F53" s="7">
        <v>4408</v>
      </c>
      <c r="G53" s="8">
        <f t="shared" si="3"/>
        <v>9.9450000000000003</v>
      </c>
      <c r="H53" s="8">
        <f t="shared" si="4"/>
        <v>7.774</v>
      </c>
      <c r="I53" s="9">
        <f t="shared" si="5"/>
        <v>2.2561252268602541</v>
      </c>
      <c r="J53" s="10"/>
    </row>
    <row r="54" spans="1:10" x14ac:dyDescent="0.3">
      <c r="A54" s="11" t="s">
        <v>61</v>
      </c>
      <c r="B54" s="12">
        <v>94.77</v>
      </c>
      <c r="C54" s="13">
        <v>4462</v>
      </c>
      <c r="D54" s="14">
        <v>9774</v>
      </c>
      <c r="E54" s="14">
        <v>7513</v>
      </c>
      <c r="F54" s="14">
        <v>5843</v>
      </c>
      <c r="G54" s="15">
        <f t="shared" si="3"/>
        <v>9.7739999999999991</v>
      </c>
      <c r="H54" s="15">
        <f t="shared" si="4"/>
        <v>7.5129999999999999</v>
      </c>
      <c r="I54" s="16">
        <f t="shared" si="5"/>
        <v>1.6727708368988534</v>
      </c>
      <c r="J54" s="17"/>
    </row>
    <row r="55" spans="1:10" x14ac:dyDescent="0.3">
      <c r="A55" s="4" t="s">
        <v>62</v>
      </c>
      <c r="B55" s="5">
        <v>104.78</v>
      </c>
      <c r="C55" s="6">
        <v>4041</v>
      </c>
      <c r="D55" s="7">
        <v>9745</v>
      </c>
      <c r="E55" s="7">
        <v>9391</v>
      </c>
      <c r="F55" s="7">
        <v>3978</v>
      </c>
      <c r="G55" s="8">
        <f t="shared" si="3"/>
        <v>9.7449999999999992</v>
      </c>
      <c r="H55" s="8">
        <f t="shared" si="4"/>
        <v>9.391</v>
      </c>
      <c r="I55" s="9">
        <f t="shared" si="5"/>
        <v>2.449723479135244</v>
      </c>
      <c r="J55" s="10"/>
    </row>
    <row r="56" spans="1:10" x14ac:dyDescent="0.3">
      <c r="A56" s="11" t="s">
        <v>63</v>
      </c>
      <c r="B56" s="12">
        <v>45.19</v>
      </c>
      <c r="C56" s="13">
        <v>2949</v>
      </c>
      <c r="D56" s="14">
        <v>9731</v>
      </c>
      <c r="E56" s="14">
        <v>8816</v>
      </c>
      <c r="F56" s="14">
        <v>6598</v>
      </c>
      <c r="G56" s="15">
        <f t="shared" si="3"/>
        <v>9.7309999999999999</v>
      </c>
      <c r="H56" s="15">
        <f t="shared" si="4"/>
        <v>8.8160000000000007</v>
      </c>
      <c r="I56" s="16">
        <f t="shared" si="5"/>
        <v>1.4748408608669294</v>
      </c>
      <c r="J56" s="17"/>
    </row>
    <row r="57" spans="1:10" x14ac:dyDescent="0.3">
      <c r="A57" s="4" t="s">
        <v>64</v>
      </c>
      <c r="B57" s="5">
        <v>176.33</v>
      </c>
      <c r="C57" s="6">
        <v>5651</v>
      </c>
      <c r="D57" s="7">
        <v>9318</v>
      </c>
      <c r="E57" s="7">
        <v>6402</v>
      </c>
      <c r="F57" s="7">
        <v>5142</v>
      </c>
      <c r="G57" s="8">
        <f t="shared" si="3"/>
        <v>9.3179999999999996</v>
      </c>
      <c r="H57" s="8">
        <f t="shared" si="4"/>
        <v>6.4020000000000001</v>
      </c>
      <c r="I57" s="9">
        <f t="shared" si="5"/>
        <v>1.8121353558926487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9309</v>
      </c>
      <c r="E58" s="14">
        <v>7869</v>
      </c>
      <c r="F58" s="14">
        <v>4772</v>
      </c>
      <c r="G58" s="15">
        <f t="shared" si="3"/>
        <v>9.3089999999999993</v>
      </c>
      <c r="H58" s="15">
        <f t="shared" si="4"/>
        <v>7.8689999999999998</v>
      </c>
      <c r="I58" s="16">
        <f t="shared" si="5"/>
        <v>1.9507544006705784</v>
      </c>
      <c r="J58" s="17"/>
    </row>
    <row r="59" spans="1:10" x14ac:dyDescent="0.3">
      <c r="A59" s="4" t="s">
        <v>66</v>
      </c>
      <c r="B59" s="5">
        <v>32.04</v>
      </c>
      <c r="C59" s="6">
        <v>2762</v>
      </c>
      <c r="D59" s="7">
        <v>9181</v>
      </c>
      <c r="E59" s="7">
        <v>7793</v>
      </c>
      <c r="F59" s="7">
        <v>3935</v>
      </c>
      <c r="G59" s="8">
        <f t="shared" si="3"/>
        <v>9.1809999999999992</v>
      </c>
      <c r="H59" s="8">
        <f t="shared" si="4"/>
        <v>7.7930000000000001</v>
      </c>
      <c r="I59" s="9">
        <f t="shared" si="5"/>
        <v>2.3331639135959339</v>
      </c>
      <c r="J59" s="10"/>
    </row>
    <row r="60" spans="1:10" x14ac:dyDescent="0.3">
      <c r="A60" s="11" t="s">
        <v>67</v>
      </c>
      <c r="B60" s="12">
        <v>209.08</v>
      </c>
      <c r="C60" s="13">
        <v>5759</v>
      </c>
      <c r="D60" s="14">
        <v>9076</v>
      </c>
      <c r="E60" s="14">
        <v>6808</v>
      </c>
      <c r="F60" s="14">
        <v>3630</v>
      </c>
      <c r="G60" s="15">
        <f t="shared" si="3"/>
        <v>9.0760000000000005</v>
      </c>
      <c r="H60" s="15">
        <f t="shared" si="4"/>
        <v>6.8079999999999998</v>
      </c>
      <c r="I60" s="16">
        <f t="shared" si="5"/>
        <v>2.5002754820936639</v>
      </c>
      <c r="J60" s="17"/>
    </row>
    <row r="61" spans="1:10" x14ac:dyDescent="0.3">
      <c r="A61" s="4" t="s">
        <v>68</v>
      </c>
      <c r="B61" s="5">
        <v>74.459999999999994</v>
      </c>
      <c r="C61" s="6">
        <v>4140</v>
      </c>
      <c r="D61" s="7">
        <v>8866</v>
      </c>
      <c r="E61" s="7">
        <v>6857</v>
      </c>
      <c r="F61" s="7">
        <v>5525</v>
      </c>
      <c r="G61" s="8">
        <f t="shared" si="3"/>
        <v>8.8659999999999997</v>
      </c>
      <c r="H61" s="8">
        <f t="shared" si="4"/>
        <v>6.8570000000000002</v>
      </c>
      <c r="I61" s="9">
        <f t="shared" si="5"/>
        <v>1.6047058823529412</v>
      </c>
      <c r="J61" s="10"/>
    </row>
    <row r="62" spans="1:10" x14ac:dyDescent="0.3">
      <c r="A62" s="11" t="s">
        <v>69</v>
      </c>
      <c r="B62" s="12">
        <v>48.41</v>
      </c>
      <c r="C62" s="13">
        <v>2741</v>
      </c>
      <c r="D62" s="14">
        <v>8847</v>
      </c>
      <c r="E62" s="14">
        <v>7257</v>
      </c>
      <c r="F62" s="14">
        <v>6276</v>
      </c>
      <c r="G62" s="15">
        <f t="shared" si="3"/>
        <v>8.8469999999999995</v>
      </c>
      <c r="H62" s="15">
        <f t="shared" si="4"/>
        <v>7.2569999999999997</v>
      </c>
      <c r="I62" s="16">
        <f t="shared" si="5"/>
        <v>1.4096558317399617</v>
      </c>
      <c r="J62" s="17"/>
    </row>
    <row r="63" spans="1:10" x14ac:dyDescent="0.3">
      <c r="A63" s="4" t="s">
        <v>70</v>
      </c>
      <c r="B63" s="5">
        <v>147.09</v>
      </c>
      <c r="C63" s="6">
        <v>6062</v>
      </c>
      <c r="D63" s="7">
        <v>8821</v>
      </c>
      <c r="E63" s="7">
        <v>6477</v>
      </c>
      <c r="F63" s="7">
        <v>3959</v>
      </c>
      <c r="G63" s="8">
        <f t="shared" si="3"/>
        <v>8.8209999999999997</v>
      </c>
      <c r="H63" s="8">
        <f t="shared" si="4"/>
        <v>6.4770000000000003</v>
      </c>
      <c r="I63" s="9">
        <f t="shared" si="5"/>
        <v>2.2280879009850971</v>
      </c>
      <c r="J63" s="10"/>
    </row>
    <row r="64" spans="1:10" x14ac:dyDescent="0.3">
      <c r="A64" s="11" t="s">
        <v>71</v>
      </c>
      <c r="B64" s="12">
        <v>91.39</v>
      </c>
      <c r="C64" s="13">
        <v>4209</v>
      </c>
      <c r="D64" s="14">
        <v>8802</v>
      </c>
      <c r="E64" s="14">
        <v>7485</v>
      </c>
      <c r="F64" s="14">
        <v>6096</v>
      </c>
      <c r="G64" s="15">
        <f t="shared" si="3"/>
        <v>8.8019999999999996</v>
      </c>
      <c r="H64" s="15">
        <f t="shared" si="4"/>
        <v>7.4850000000000003</v>
      </c>
      <c r="I64" s="16">
        <f t="shared" si="5"/>
        <v>1.4438976377952757</v>
      </c>
      <c r="J64" s="17"/>
    </row>
    <row r="65" spans="1:10" x14ac:dyDescent="0.3">
      <c r="A65" s="4" t="s">
        <v>72</v>
      </c>
      <c r="B65" s="5">
        <v>100.37</v>
      </c>
      <c r="C65" s="6">
        <v>4407</v>
      </c>
      <c r="D65" s="7">
        <v>8632</v>
      </c>
      <c r="E65" s="7">
        <v>5780</v>
      </c>
      <c r="F65" s="7">
        <v>2953</v>
      </c>
      <c r="G65" s="8">
        <f t="shared" si="3"/>
        <v>8.6319999999999997</v>
      </c>
      <c r="H65" s="8">
        <f t="shared" si="4"/>
        <v>5.78</v>
      </c>
      <c r="I65" s="9">
        <f t="shared" si="5"/>
        <v>2.9231290213342365</v>
      </c>
      <c r="J65" s="10"/>
    </row>
    <row r="66" spans="1:10" x14ac:dyDescent="0.3">
      <c r="A66" s="11" t="s">
        <v>73</v>
      </c>
      <c r="B66" s="12">
        <v>93.05</v>
      </c>
      <c r="C66" s="13">
        <v>3926</v>
      </c>
      <c r="D66" s="14">
        <v>8548</v>
      </c>
      <c r="E66" s="14">
        <v>5328</v>
      </c>
      <c r="F66" s="14">
        <v>3198</v>
      </c>
      <c r="G66" s="15">
        <f t="shared" si="3"/>
        <v>8.548</v>
      </c>
      <c r="H66" s="15">
        <f t="shared" si="4"/>
        <v>5.3280000000000003</v>
      </c>
      <c r="I66" s="16">
        <f t="shared" si="5"/>
        <v>2.6729205753595999</v>
      </c>
      <c r="J66" s="17"/>
    </row>
    <row r="67" spans="1:10" x14ac:dyDescent="0.3">
      <c r="A67" s="4" t="s">
        <v>74</v>
      </c>
      <c r="B67" s="5">
        <v>58.54</v>
      </c>
      <c r="C67" s="6">
        <v>3224</v>
      </c>
      <c r="D67" s="7">
        <v>8354</v>
      </c>
      <c r="E67" s="7">
        <v>6010</v>
      </c>
      <c r="F67" s="7">
        <v>4831</v>
      </c>
      <c r="G67" s="8">
        <f t="shared" si="3"/>
        <v>8.3539999999999992</v>
      </c>
      <c r="H67" s="8">
        <f t="shared" si="4"/>
        <v>6.01</v>
      </c>
      <c r="I67" s="9">
        <f t="shared" si="5"/>
        <v>1.7292486027737528</v>
      </c>
      <c r="J67" s="10"/>
    </row>
    <row r="68" spans="1:10" x14ac:dyDescent="0.3">
      <c r="A68" s="11" t="s">
        <v>75</v>
      </c>
      <c r="B68" s="12">
        <v>171.84</v>
      </c>
      <c r="C68" s="13">
        <v>5330</v>
      </c>
      <c r="D68" s="14">
        <v>8326</v>
      </c>
      <c r="E68" s="14">
        <v>5915</v>
      </c>
      <c r="F68" s="14">
        <v>4557</v>
      </c>
      <c r="G68" s="15">
        <f t="shared" si="3"/>
        <v>8.3260000000000005</v>
      </c>
      <c r="H68" s="15">
        <f t="shared" si="4"/>
        <v>5.915</v>
      </c>
      <c r="I68" s="16">
        <f t="shared" si="5"/>
        <v>1.8270792187842879</v>
      </c>
      <c r="J68" s="17"/>
    </row>
    <row r="69" spans="1:10" x14ac:dyDescent="0.3">
      <c r="A69" s="4" t="s">
        <v>76</v>
      </c>
      <c r="B69" s="5">
        <v>139.38</v>
      </c>
      <c r="C69" s="6">
        <v>6112</v>
      </c>
      <c r="D69" s="7">
        <v>8123</v>
      </c>
      <c r="E69" s="7">
        <v>5170</v>
      </c>
      <c r="F69" s="7">
        <v>3767</v>
      </c>
      <c r="G69" s="8">
        <f t="shared" ref="G69:G100" si="6">D69/1000</f>
        <v>8.1229999999999993</v>
      </c>
      <c r="H69" s="8">
        <f t="shared" ref="H69:H100" si="7">E69/1000</f>
        <v>5.17</v>
      </c>
      <c r="I69" s="9">
        <f t="shared" ref="I69:I100" si="8">IFERROR(D69/F69,"")</f>
        <v>2.1563578444385452</v>
      </c>
      <c r="J69" s="10"/>
    </row>
    <row r="70" spans="1:10" x14ac:dyDescent="0.3">
      <c r="A70" s="11" t="s">
        <v>77</v>
      </c>
      <c r="B70" s="12">
        <v>135.9</v>
      </c>
      <c r="C70" s="13">
        <v>5486</v>
      </c>
      <c r="D70" s="14">
        <v>7952</v>
      </c>
      <c r="E70" s="14">
        <v>4828</v>
      </c>
      <c r="F70" s="14">
        <v>3753</v>
      </c>
      <c r="G70" s="15">
        <f t="shared" si="6"/>
        <v>7.952</v>
      </c>
      <c r="H70" s="15">
        <f t="shared" si="7"/>
        <v>4.8280000000000003</v>
      </c>
      <c r="I70" s="16">
        <f t="shared" si="8"/>
        <v>2.118838262723155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7768</v>
      </c>
      <c r="E71" s="7">
        <v>6074</v>
      </c>
      <c r="F71" s="7">
        <v>5178</v>
      </c>
      <c r="G71" s="8">
        <f t="shared" si="6"/>
        <v>7.7679999999999998</v>
      </c>
      <c r="H71" s="8">
        <f t="shared" si="7"/>
        <v>6.0739999999999998</v>
      </c>
      <c r="I71" s="9">
        <f t="shared" si="8"/>
        <v>1.500193124758594</v>
      </c>
      <c r="J71" s="10"/>
    </row>
    <row r="72" spans="1:10" x14ac:dyDescent="0.3">
      <c r="A72" s="11" t="s">
        <v>79</v>
      </c>
      <c r="B72" s="12">
        <v>112.41</v>
      </c>
      <c r="C72" s="13">
        <v>4665</v>
      </c>
      <c r="D72" s="14">
        <v>7666</v>
      </c>
      <c r="E72" s="14">
        <v>5328</v>
      </c>
      <c r="F72" s="14">
        <v>3318</v>
      </c>
      <c r="G72" s="15">
        <f t="shared" si="6"/>
        <v>7.6660000000000004</v>
      </c>
      <c r="H72" s="15">
        <f t="shared" si="7"/>
        <v>5.3280000000000003</v>
      </c>
      <c r="I72" s="16">
        <f t="shared" si="8"/>
        <v>2.3104279686558167</v>
      </c>
      <c r="J72" s="17"/>
    </row>
    <row r="73" spans="1:10" x14ac:dyDescent="0.3">
      <c r="A73" s="4" t="s">
        <v>80</v>
      </c>
      <c r="B73" s="5">
        <v>120.74</v>
      </c>
      <c r="C73" s="6">
        <v>4912</v>
      </c>
      <c r="D73" s="7">
        <v>7611</v>
      </c>
      <c r="E73" s="7">
        <v>5316</v>
      </c>
      <c r="F73" s="7">
        <v>3467</v>
      </c>
      <c r="G73" s="8">
        <f t="shared" si="6"/>
        <v>7.6109999999999998</v>
      </c>
      <c r="H73" s="8">
        <f t="shared" si="7"/>
        <v>5.3159999999999998</v>
      </c>
      <c r="I73" s="9">
        <f t="shared" si="8"/>
        <v>2.195269685607153</v>
      </c>
      <c r="J73" s="10"/>
    </row>
    <row r="74" spans="1:10" x14ac:dyDescent="0.3">
      <c r="A74" s="11" t="s">
        <v>81</v>
      </c>
      <c r="B74" s="12">
        <v>120.66</v>
      </c>
      <c r="C74" s="13">
        <v>4600</v>
      </c>
      <c r="D74" s="14">
        <v>7541</v>
      </c>
      <c r="E74" s="14">
        <v>6763</v>
      </c>
      <c r="F74" s="14">
        <v>5126</v>
      </c>
      <c r="G74" s="15">
        <f t="shared" si="6"/>
        <v>7.5410000000000004</v>
      </c>
      <c r="H74" s="15">
        <f t="shared" si="7"/>
        <v>6.7629999999999999</v>
      </c>
      <c r="I74" s="16">
        <f t="shared" si="8"/>
        <v>1.4711275848614904</v>
      </c>
      <c r="J74" s="17"/>
    </row>
    <row r="75" spans="1:10" x14ac:dyDescent="0.3">
      <c r="A75" s="4" t="s">
        <v>82</v>
      </c>
      <c r="B75" s="5">
        <v>110.4</v>
      </c>
      <c r="C75" s="6">
        <v>5184</v>
      </c>
      <c r="D75" s="7">
        <v>7507</v>
      </c>
      <c r="E75" s="7">
        <v>6074</v>
      </c>
      <c r="F75" s="7">
        <v>4447</v>
      </c>
      <c r="G75" s="8">
        <f t="shared" si="6"/>
        <v>7.5069999999999997</v>
      </c>
      <c r="H75" s="8">
        <f t="shared" si="7"/>
        <v>6.0739999999999998</v>
      </c>
      <c r="I75" s="9">
        <f t="shared" si="8"/>
        <v>1.6881043400044975</v>
      </c>
      <c r="J75" s="10"/>
    </row>
    <row r="76" spans="1:10" x14ac:dyDescent="0.3">
      <c r="A76" s="18" t="s">
        <v>83</v>
      </c>
      <c r="B76" s="19">
        <v>40.79</v>
      </c>
      <c r="C76" s="20">
        <v>2958</v>
      </c>
      <c r="D76" s="21">
        <v>7409</v>
      </c>
      <c r="E76" s="21">
        <v>6704</v>
      </c>
      <c r="F76" s="21">
        <v>1951</v>
      </c>
      <c r="G76" s="22">
        <f t="shared" si="6"/>
        <v>7.4089999999999998</v>
      </c>
      <c r="H76" s="22">
        <f t="shared" si="7"/>
        <v>6.7039999999999997</v>
      </c>
      <c r="I76" s="23">
        <f t="shared" si="8"/>
        <v>3.7975397232188621</v>
      </c>
      <c r="J76" s="24"/>
    </row>
    <row r="77" spans="1:10" x14ac:dyDescent="0.3">
      <c r="A77" s="18" t="s">
        <v>84</v>
      </c>
      <c r="B77" s="19">
        <v>127.02</v>
      </c>
      <c r="C77" s="20">
        <v>5903</v>
      </c>
      <c r="D77" s="21">
        <v>7228</v>
      </c>
      <c r="E77" s="21">
        <v>4597</v>
      </c>
      <c r="F77" s="21">
        <v>2368</v>
      </c>
      <c r="G77" s="22">
        <f t="shared" si="6"/>
        <v>7.2279999999999998</v>
      </c>
      <c r="H77" s="22">
        <f t="shared" si="7"/>
        <v>4.5970000000000004</v>
      </c>
      <c r="I77" s="23">
        <f t="shared" si="8"/>
        <v>3.0523648648648649</v>
      </c>
      <c r="J77" s="24"/>
    </row>
    <row r="78" spans="1:10" x14ac:dyDescent="0.3">
      <c r="A78" s="11" t="s">
        <v>85</v>
      </c>
      <c r="B78" s="12">
        <v>113.56</v>
      </c>
      <c r="C78" s="13">
        <v>4624</v>
      </c>
      <c r="D78" s="14">
        <v>7223</v>
      </c>
      <c r="E78" s="14">
        <v>4855</v>
      </c>
      <c r="F78" s="14">
        <v>3449</v>
      </c>
      <c r="G78" s="15">
        <f t="shared" si="6"/>
        <v>7.2229999999999999</v>
      </c>
      <c r="H78" s="15">
        <f t="shared" si="7"/>
        <v>4.8550000000000004</v>
      </c>
      <c r="I78" s="16">
        <f t="shared" si="8"/>
        <v>2.0942302116555522</v>
      </c>
      <c r="J78" s="17"/>
    </row>
    <row r="79" spans="1:10" x14ac:dyDescent="0.3">
      <c r="A79" s="4" t="s">
        <v>86</v>
      </c>
      <c r="B79" s="5">
        <v>108.02</v>
      </c>
      <c r="C79" s="6">
        <v>4421</v>
      </c>
      <c r="D79" s="7">
        <v>7146</v>
      </c>
      <c r="E79" s="7">
        <v>5205</v>
      </c>
      <c r="F79" s="7">
        <v>3884</v>
      </c>
      <c r="G79" s="8">
        <f t="shared" si="6"/>
        <v>7.1459999999999999</v>
      </c>
      <c r="H79" s="8">
        <f t="shared" si="7"/>
        <v>5.2050000000000001</v>
      </c>
      <c r="I79" s="9">
        <f t="shared" si="8"/>
        <v>1.8398558187435634</v>
      </c>
      <c r="J79" s="10"/>
    </row>
    <row r="80" spans="1:10" x14ac:dyDescent="0.3">
      <c r="A80" s="11" t="s">
        <v>87</v>
      </c>
      <c r="B80" s="12">
        <v>312.08</v>
      </c>
      <c r="C80" s="13">
        <v>8167</v>
      </c>
      <c r="D80" s="14">
        <v>6891</v>
      </c>
      <c r="E80" s="14">
        <v>4556</v>
      </c>
      <c r="F80" s="14">
        <v>2990</v>
      </c>
      <c r="G80" s="15">
        <f t="shared" si="6"/>
        <v>6.891</v>
      </c>
      <c r="H80" s="15">
        <f t="shared" si="7"/>
        <v>4.556</v>
      </c>
      <c r="I80" s="16">
        <f t="shared" si="8"/>
        <v>2.3046822742474915</v>
      </c>
      <c r="J80" s="17"/>
    </row>
    <row r="81" spans="1:10" x14ac:dyDescent="0.3">
      <c r="A81" s="18" t="s">
        <v>88</v>
      </c>
      <c r="B81" s="19">
        <v>32.340000000000003</v>
      </c>
      <c r="C81" s="20">
        <v>2321</v>
      </c>
      <c r="D81" s="21">
        <v>6757</v>
      </c>
      <c r="E81" s="21">
        <v>5499</v>
      </c>
      <c r="F81" s="21">
        <v>1812</v>
      </c>
      <c r="G81" s="22">
        <f t="shared" si="6"/>
        <v>6.7569999999999997</v>
      </c>
      <c r="H81" s="22">
        <f t="shared" si="7"/>
        <v>5.4989999999999997</v>
      </c>
      <c r="I81" s="23">
        <f t="shared" si="8"/>
        <v>3.7290286975717439</v>
      </c>
      <c r="J81" s="24"/>
    </row>
    <row r="82" spans="1:10" x14ac:dyDescent="0.3">
      <c r="A82" s="11" t="s">
        <v>89</v>
      </c>
      <c r="B82" s="12">
        <v>96.41</v>
      </c>
      <c r="C82" s="13">
        <v>4397</v>
      </c>
      <c r="D82" s="14">
        <v>6733</v>
      </c>
      <c r="E82" s="14">
        <v>4565</v>
      </c>
      <c r="F82" s="14">
        <v>2762</v>
      </c>
      <c r="G82" s="15">
        <f t="shared" si="6"/>
        <v>6.7329999999999997</v>
      </c>
      <c r="H82" s="15">
        <f t="shared" si="7"/>
        <v>4.5650000000000004</v>
      </c>
      <c r="I82" s="16">
        <f t="shared" si="8"/>
        <v>2.4377262853005068</v>
      </c>
      <c r="J82" s="17"/>
    </row>
    <row r="83" spans="1:10" x14ac:dyDescent="0.3">
      <c r="A83" s="4" t="s">
        <v>90</v>
      </c>
      <c r="B83" s="5">
        <v>60.32</v>
      </c>
      <c r="C83" s="6">
        <v>3294</v>
      </c>
      <c r="D83" s="7">
        <v>6522</v>
      </c>
      <c r="E83" s="7">
        <v>4828</v>
      </c>
      <c r="F83" s="7">
        <v>3665</v>
      </c>
      <c r="G83" s="8">
        <f t="shared" si="6"/>
        <v>6.5220000000000002</v>
      </c>
      <c r="H83" s="8">
        <f t="shared" si="7"/>
        <v>4.8280000000000003</v>
      </c>
      <c r="I83" s="9">
        <f t="shared" si="8"/>
        <v>1.7795361527967257</v>
      </c>
      <c r="J83" s="10"/>
    </row>
    <row r="84" spans="1:10" x14ac:dyDescent="0.3">
      <c r="A84" s="11" t="s">
        <v>91</v>
      </c>
      <c r="B84" s="12">
        <v>77.3</v>
      </c>
      <c r="C84" s="13">
        <v>3938</v>
      </c>
      <c r="D84" s="14">
        <v>6398</v>
      </c>
      <c r="E84" s="14">
        <v>4350</v>
      </c>
      <c r="F84" s="14">
        <v>2947</v>
      </c>
      <c r="G84" s="15">
        <f t="shared" si="6"/>
        <v>6.3979999999999997</v>
      </c>
      <c r="H84" s="15">
        <f t="shared" si="7"/>
        <v>4.3499999999999996</v>
      </c>
      <c r="I84" s="16">
        <f t="shared" si="8"/>
        <v>2.1710213776722092</v>
      </c>
      <c r="J84" s="17"/>
    </row>
    <row r="85" spans="1:10" x14ac:dyDescent="0.3">
      <c r="A85" s="4" t="s">
        <v>92</v>
      </c>
      <c r="B85" s="5">
        <v>181.22</v>
      </c>
      <c r="C85" s="6">
        <v>5265</v>
      </c>
      <c r="D85" s="7">
        <v>6398</v>
      </c>
      <c r="E85" s="7">
        <v>3339</v>
      </c>
      <c r="F85" s="7">
        <v>2399</v>
      </c>
      <c r="G85" s="8">
        <f t="shared" si="6"/>
        <v>6.3979999999999997</v>
      </c>
      <c r="H85" s="8">
        <f t="shared" si="7"/>
        <v>3.339</v>
      </c>
      <c r="I85" s="9">
        <f t="shared" si="8"/>
        <v>2.6669445602334307</v>
      </c>
      <c r="J85" s="10"/>
    </row>
    <row r="86" spans="1:10" x14ac:dyDescent="0.3">
      <c r="A86" s="18" t="s">
        <v>93</v>
      </c>
      <c r="B86" s="19">
        <v>158.96</v>
      </c>
      <c r="C86" s="20">
        <v>5463</v>
      </c>
      <c r="D86" s="21">
        <v>6370</v>
      </c>
      <c r="E86" s="21">
        <v>4993</v>
      </c>
      <c r="F86" s="21">
        <v>1794</v>
      </c>
      <c r="G86" s="22">
        <f t="shared" si="6"/>
        <v>6.37</v>
      </c>
      <c r="H86" s="22">
        <f t="shared" si="7"/>
        <v>4.9930000000000003</v>
      </c>
      <c r="I86" s="23">
        <f t="shared" si="8"/>
        <v>3.5507246376811592</v>
      </c>
      <c r="J86" s="24"/>
    </row>
    <row r="87" spans="1:10" x14ac:dyDescent="0.3">
      <c r="A87" s="4" t="s">
        <v>94</v>
      </c>
      <c r="B87" s="5">
        <v>95.56</v>
      </c>
      <c r="C87" s="6">
        <v>5072</v>
      </c>
      <c r="D87" s="7">
        <v>6146</v>
      </c>
      <c r="E87" s="7">
        <v>3813</v>
      </c>
      <c r="F87" s="7">
        <v>2553</v>
      </c>
      <c r="G87" s="8">
        <f t="shared" si="6"/>
        <v>6.1459999999999999</v>
      </c>
      <c r="H87" s="8">
        <f t="shared" si="7"/>
        <v>3.8130000000000002</v>
      </c>
      <c r="I87" s="9">
        <f t="shared" si="8"/>
        <v>2.407363885624755</v>
      </c>
      <c r="J87" s="10"/>
    </row>
    <row r="88" spans="1:10" x14ac:dyDescent="0.3">
      <c r="A88" s="11" t="s">
        <v>95</v>
      </c>
      <c r="B88" s="12">
        <v>126.14</v>
      </c>
      <c r="C88" s="13">
        <v>5327</v>
      </c>
      <c r="D88" s="14">
        <v>6038</v>
      </c>
      <c r="E88" s="14">
        <v>3366</v>
      </c>
      <c r="F88" s="14">
        <v>2501</v>
      </c>
      <c r="G88" s="15">
        <f t="shared" si="6"/>
        <v>6.0380000000000003</v>
      </c>
      <c r="H88" s="15">
        <f t="shared" si="7"/>
        <v>3.3660000000000001</v>
      </c>
      <c r="I88" s="16">
        <f t="shared" si="8"/>
        <v>2.4142343062774891</v>
      </c>
      <c r="J88" s="17"/>
    </row>
    <row r="89" spans="1:10" x14ac:dyDescent="0.3">
      <c r="A89" s="18" t="s">
        <v>96</v>
      </c>
      <c r="B89" s="19">
        <v>134.35</v>
      </c>
      <c r="C89" s="20">
        <v>5374</v>
      </c>
      <c r="D89" s="21">
        <v>5853</v>
      </c>
      <c r="E89" s="21">
        <v>3325</v>
      </c>
      <c r="F89" s="21">
        <v>1928</v>
      </c>
      <c r="G89" s="22">
        <f t="shared" si="6"/>
        <v>5.8529999999999998</v>
      </c>
      <c r="H89" s="22">
        <f t="shared" si="7"/>
        <v>3.3250000000000002</v>
      </c>
      <c r="I89" s="23">
        <f t="shared" si="8"/>
        <v>3.0357883817427385</v>
      </c>
      <c r="J89" s="24"/>
    </row>
    <row r="90" spans="1:10" x14ac:dyDescent="0.3">
      <c r="A90" s="18" t="s">
        <v>97</v>
      </c>
      <c r="B90" s="19">
        <v>216.06</v>
      </c>
      <c r="C90" s="20">
        <v>5853</v>
      </c>
      <c r="D90" s="21">
        <v>5768</v>
      </c>
      <c r="E90" s="21">
        <v>2823</v>
      </c>
      <c r="F90" s="21">
        <v>814</v>
      </c>
      <c r="G90" s="22">
        <f t="shared" si="6"/>
        <v>5.7679999999999998</v>
      </c>
      <c r="H90" s="22">
        <f t="shared" si="7"/>
        <v>2.823</v>
      </c>
      <c r="I90" s="23">
        <f t="shared" si="8"/>
        <v>7.0859950859950862</v>
      </c>
      <c r="J90" s="24"/>
    </row>
    <row r="91" spans="1:10" x14ac:dyDescent="0.3">
      <c r="A91" s="18" t="s">
        <v>98</v>
      </c>
      <c r="B91" s="19">
        <v>109.08</v>
      </c>
      <c r="C91" s="20">
        <v>4750</v>
      </c>
      <c r="D91" s="21">
        <v>5675</v>
      </c>
      <c r="E91" s="21">
        <v>2350</v>
      </c>
      <c r="F91" s="21">
        <v>1817</v>
      </c>
      <c r="G91" s="22">
        <f t="shared" si="6"/>
        <v>5.6749999999999998</v>
      </c>
      <c r="H91" s="22">
        <f t="shared" si="7"/>
        <v>2.35</v>
      </c>
      <c r="I91" s="23">
        <f t="shared" si="8"/>
        <v>3.1232801320858559</v>
      </c>
      <c r="J91" s="24"/>
    </row>
    <row r="92" spans="1:10" x14ac:dyDescent="0.3">
      <c r="A92" s="18" t="s">
        <v>99</v>
      </c>
      <c r="B92" s="19">
        <v>247.22</v>
      </c>
      <c r="C92" s="20">
        <v>7477</v>
      </c>
      <c r="D92" s="21">
        <v>5564</v>
      </c>
      <c r="E92" s="21">
        <v>2350</v>
      </c>
      <c r="F92" s="21">
        <v>1751</v>
      </c>
      <c r="G92" s="22">
        <f t="shared" si="6"/>
        <v>5.5640000000000001</v>
      </c>
      <c r="H92" s="22">
        <f t="shared" si="7"/>
        <v>2.35</v>
      </c>
      <c r="I92" s="23">
        <f t="shared" si="8"/>
        <v>3.1776127926898914</v>
      </c>
      <c r="J92" s="24"/>
    </row>
    <row r="93" spans="1:10" x14ac:dyDescent="0.3">
      <c r="A93" s="4" t="s">
        <v>100</v>
      </c>
      <c r="B93" s="5">
        <v>77.569999999999993</v>
      </c>
      <c r="C93" s="6">
        <v>4424</v>
      </c>
      <c r="D93" s="7">
        <v>4859</v>
      </c>
      <c r="E93" s="7">
        <v>2626</v>
      </c>
      <c r="F93" s="7">
        <v>1818</v>
      </c>
      <c r="G93" s="8">
        <f t="shared" si="6"/>
        <v>4.859</v>
      </c>
      <c r="H93" s="8">
        <f t="shared" si="7"/>
        <v>2.6259999999999999</v>
      </c>
      <c r="I93" s="9">
        <f t="shared" si="8"/>
        <v>2.6727172717271728</v>
      </c>
      <c r="J93" s="10"/>
    </row>
    <row r="94" spans="1:10" x14ac:dyDescent="0.3">
      <c r="A94" s="11" t="s">
        <v>101</v>
      </c>
      <c r="B94" s="12">
        <v>58.11</v>
      </c>
      <c r="C94" s="13">
        <v>3300</v>
      </c>
      <c r="D94" s="14">
        <v>4552</v>
      </c>
      <c r="E94" s="14">
        <v>2823</v>
      </c>
      <c r="F94" s="14">
        <v>1625</v>
      </c>
      <c r="G94" s="15">
        <f t="shared" si="6"/>
        <v>4.5519999999999996</v>
      </c>
      <c r="H94" s="15">
        <f t="shared" si="7"/>
        <v>2.823</v>
      </c>
      <c r="I94" s="16">
        <f t="shared" si="8"/>
        <v>2.8012307692307692</v>
      </c>
      <c r="J94" s="17"/>
    </row>
    <row r="95" spans="1:10" x14ac:dyDescent="0.3">
      <c r="A95" s="4" t="s">
        <v>102</v>
      </c>
      <c r="B95" s="5">
        <v>77.14</v>
      </c>
      <c r="C95" s="6">
        <v>4019</v>
      </c>
      <c r="D95" s="7">
        <v>4417</v>
      </c>
      <c r="E95" s="7">
        <v>3449</v>
      </c>
      <c r="F95" s="7">
        <v>2427</v>
      </c>
      <c r="G95" s="8">
        <f t="shared" si="6"/>
        <v>4.4169999999999998</v>
      </c>
      <c r="H95" s="8">
        <f t="shared" si="7"/>
        <v>3.4489999999999998</v>
      </c>
      <c r="I95" s="9">
        <f t="shared" si="8"/>
        <v>1.8199423156159868</v>
      </c>
      <c r="J95" s="10"/>
    </row>
    <row r="96" spans="1:10" x14ac:dyDescent="0.3">
      <c r="A96" s="18" t="s">
        <v>103</v>
      </c>
      <c r="B96" s="19">
        <v>69.489999999999995</v>
      </c>
      <c r="C96" s="20">
        <v>3396</v>
      </c>
      <c r="D96" s="21">
        <v>4417</v>
      </c>
      <c r="E96" s="21">
        <v>2196</v>
      </c>
      <c r="F96" s="21">
        <v>1412</v>
      </c>
      <c r="G96" s="22">
        <f t="shared" si="6"/>
        <v>4.4169999999999998</v>
      </c>
      <c r="H96" s="22">
        <f t="shared" si="7"/>
        <v>2.1960000000000002</v>
      </c>
      <c r="I96" s="23">
        <f t="shared" si="8"/>
        <v>3.1281869688385271</v>
      </c>
      <c r="J96" s="24"/>
    </row>
    <row r="97" spans="1:10" x14ac:dyDescent="0.3">
      <c r="A97" s="18" t="s">
        <v>104</v>
      </c>
      <c r="B97" s="19">
        <v>116.19</v>
      </c>
      <c r="C97" s="20">
        <v>5494</v>
      </c>
      <c r="D97" s="21">
        <v>4360</v>
      </c>
      <c r="E97" s="21">
        <v>1623</v>
      </c>
      <c r="F97" s="21">
        <v>859</v>
      </c>
      <c r="G97" s="22">
        <f t="shared" si="6"/>
        <v>4.3600000000000003</v>
      </c>
      <c r="H97" s="22">
        <f t="shared" si="7"/>
        <v>1.623</v>
      </c>
      <c r="I97" s="23">
        <f t="shared" si="8"/>
        <v>5.0756693830034925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115.98</v>
      </c>
      <c r="C99" s="20">
        <v>4428</v>
      </c>
      <c r="D99" s="21">
        <v>4188</v>
      </c>
      <c r="E99" s="21">
        <v>848</v>
      </c>
      <c r="F99" s="21">
        <v>146</v>
      </c>
      <c r="G99" s="22">
        <f t="shared" si="6"/>
        <v>4.1879999999999997</v>
      </c>
      <c r="H99" s="22">
        <f t="shared" si="7"/>
        <v>0.84799999999999998</v>
      </c>
      <c r="I99" s="23">
        <f t="shared" si="8"/>
        <v>28.684931506849313</v>
      </c>
      <c r="J99" s="24"/>
    </row>
    <row r="100" spans="1:10" x14ac:dyDescent="0.3">
      <c r="A100" s="18" t="s">
        <v>107</v>
      </c>
      <c r="B100" s="19">
        <v>41.91</v>
      </c>
      <c r="C100" s="20">
        <v>3348</v>
      </c>
      <c r="D100" s="21">
        <v>4132</v>
      </c>
      <c r="E100" s="21">
        <v>2550</v>
      </c>
      <c r="F100" s="21">
        <v>1009</v>
      </c>
      <c r="G100" s="22">
        <f t="shared" si="6"/>
        <v>4.1319999999999997</v>
      </c>
      <c r="H100" s="22">
        <f t="shared" si="7"/>
        <v>2.5499999999999998</v>
      </c>
      <c r="I100" s="23">
        <f t="shared" si="8"/>
        <v>4.0951437066402381</v>
      </c>
      <c r="J100" s="24"/>
    </row>
    <row r="101" spans="1:10" x14ac:dyDescent="0.3">
      <c r="A101" s="18" t="s">
        <v>108</v>
      </c>
      <c r="B101" s="19">
        <v>47.16</v>
      </c>
      <c r="C101" s="20">
        <v>3144</v>
      </c>
      <c r="D101" s="21">
        <v>4132</v>
      </c>
      <c r="E101" s="21">
        <v>3268</v>
      </c>
      <c r="F101" s="21">
        <v>1296</v>
      </c>
      <c r="G101" s="22">
        <f t="shared" ref="G101:G107" si="9">D101/1000</f>
        <v>4.1319999999999997</v>
      </c>
      <c r="H101" s="22">
        <f t="shared" ref="H101:H107" si="10">E101/1000</f>
        <v>3.2679999999999998</v>
      </c>
      <c r="I101" s="23">
        <f t="shared" ref="I101:I107" si="11">IFERROR(D101/F101,"")</f>
        <v>3.1882716049382718</v>
      </c>
      <c r="J101" s="24"/>
    </row>
    <row r="102" spans="1:10" x14ac:dyDescent="0.3">
      <c r="A102" s="18" t="s">
        <v>109</v>
      </c>
      <c r="B102" s="19">
        <v>101.37</v>
      </c>
      <c r="C102" s="20">
        <v>4345</v>
      </c>
      <c r="D102" s="21">
        <v>4020</v>
      </c>
      <c r="E102" s="21">
        <v>1832</v>
      </c>
      <c r="F102" s="21">
        <v>1064</v>
      </c>
      <c r="G102" s="22">
        <f t="shared" si="9"/>
        <v>4.0199999999999996</v>
      </c>
      <c r="H102" s="22">
        <f t="shared" si="10"/>
        <v>1.8320000000000001</v>
      </c>
      <c r="I102" s="23">
        <f t="shared" si="11"/>
        <v>3.7781954887218046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53.79</v>
      </c>
      <c r="C104" s="20">
        <v>3036</v>
      </c>
      <c r="D104" s="21">
        <v>2615</v>
      </c>
      <c r="E104" s="21">
        <v>1054</v>
      </c>
      <c r="F104" s="21">
        <v>607</v>
      </c>
      <c r="G104" s="22">
        <f t="shared" si="9"/>
        <v>2.6150000000000002</v>
      </c>
      <c r="H104" s="22">
        <f t="shared" si="10"/>
        <v>1.054</v>
      </c>
      <c r="I104" s="23">
        <f t="shared" si="11"/>
        <v>4.3080724876441518</v>
      </c>
      <c r="J104" s="24"/>
    </row>
    <row r="105" spans="1:10" x14ac:dyDescent="0.3">
      <c r="A105" s="18" t="s">
        <v>112</v>
      </c>
      <c r="B105" s="19">
        <v>58.91</v>
      </c>
      <c r="C105" s="20">
        <v>3665</v>
      </c>
      <c r="D105" s="21">
        <v>2594</v>
      </c>
      <c r="E105" s="21">
        <v>573</v>
      </c>
      <c r="F105" s="21">
        <v>137</v>
      </c>
      <c r="G105" s="22">
        <f t="shared" si="9"/>
        <v>2.5939999999999999</v>
      </c>
      <c r="H105" s="22">
        <f t="shared" si="10"/>
        <v>0.57299999999999995</v>
      </c>
      <c r="I105" s="23">
        <f t="shared" si="11"/>
        <v>18.934306569343065</v>
      </c>
      <c r="J105" s="24"/>
    </row>
    <row r="106" spans="1:10" x14ac:dyDescent="0.3">
      <c r="A106" s="18" t="s">
        <v>113</v>
      </c>
      <c r="B106" s="19">
        <v>46.71</v>
      </c>
      <c r="C106" s="20">
        <v>3528</v>
      </c>
      <c r="D106" s="21">
        <v>2472</v>
      </c>
      <c r="E106" s="21">
        <v>897</v>
      </c>
      <c r="F106" s="21">
        <v>363</v>
      </c>
      <c r="G106" s="22">
        <f t="shared" si="9"/>
        <v>2.472</v>
      </c>
      <c r="H106" s="22">
        <f t="shared" si="10"/>
        <v>0.89700000000000002</v>
      </c>
      <c r="I106" s="23">
        <f t="shared" si="11"/>
        <v>6.8099173553719012</v>
      </c>
      <c r="J106" s="24"/>
    </row>
    <row r="107" spans="1:10" x14ac:dyDescent="0.3">
      <c r="A107" s="4" t="s">
        <v>114</v>
      </c>
      <c r="B107" s="5">
        <v>51.47</v>
      </c>
      <c r="C107" s="6">
        <v>3236</v>
      </c>
      <c r="D107" s="7">
        <v>1655</v>
      </c>
      <c r="E107" s="7">
        <v>1054</v>
      </c>
      <c r="F107" s="7">
        <v>648</v>
      </c>
      <c r="G107" s="8">
        <f t="shared" si="9"/>
        <v>1.655</v>
      </c>
      <c r="H107" s="8">
        <f t="shared" si="10"/>
        <v>1.054</v>
      </c>
      <c r="I107" s="9">
        <f t="shared" si="11"/>
        <v>2.5540123456790123</v>
      </c>
      <c r="J107" s="10"/>
    </row>
    <row r="109" spans="1:10" x14ac:dyDescent="0.3">
      <c r="A109" s="25" t="s">
        <v>115</v>
      </c>
      <c r="B109" s="26">
        <f>SUM(B5:B107)</f>
        <v>10566.599999999995</v>
      </c>
      <c r="D109" s="27">
        <f>MAX(D5:D107)</f>
        <v>27701</v>
      </c>
      <c r="G109" s="28">
        <f>IFERROR(MAX(G5:G107),"")</f>
        <v>27.701000000000001</v>
      </c>
      <c r="I109" s="29">
        <f>IFERROR(AVERAGE(I5:I107),"")</f>
        <v>2.6084976034614011</v>
      </c>
    </row>
    <row r="110" spans="1:10" x14ac:dyDescent="0.3">
      <c r="A110" s="30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117</v>
      </c>
    </row>
    <row r="3" spans="1:2" ht="30" customHeight="1" x14ac:dyDescent="0.3">
      <c r="A3" s="32" t="s">
        <v>118</v>
      </c>
      <c r="B3" s="33" t="s">
        <v>119</v>
      </c>
    </row>
    <row r="4" spans="1:2" ht="30" customHeight="1" x14ac:dyDescent="0.3">
      <c r="A4" s="32" t="s">
        <v>120</v>
      </c>
      <c r="B4" s="33" t="s">
        <v>121</v>
      </c>
    </row>
    <row r="5" spans="1:2" ht="30" customHeight="1" x14ac:dyDescent="0.3">
      <c r="A5" s="32" t="s">
        <v>122</v>
      </c>
      <c r="B5" s="33" t="s">
        <v>123</v>
      </c>
    </row>
    <row r="6" spans="1:2" ht="30" customHeight="1" x14ac:dyDescent="0.3">
      <c r="A6" s="32" t="s">
        <v>124</v>
      </c>
      <c r="B6" s="33" t="s">
        <v>125</v>
      </c>
    </row>
    <row r="7" spans="1:2" ht="30" customHeight="1" x14ac:dyDescent="0.3">
      <c r="A7" s="32" t="s">
        <v>126</v>
      </c>
      <c r="B7" s="33" t="s">
        <v>127</v>
      </c>
    </row>
    <row r="8" spans="1:2" ht="30" customHeight="1" x14ac:dyDescent="0.3">
      <c r="A8" s="32" t="s">
        <v>128</v>
      </c>
      <c r="B8" s="33" t="s">
        <v>129</v>
      </c>
    </row>
    <row r="9" spans="1:2" ht="30" customHeight="1" x14ac:dyDescent="0.3">
      <c r="A9" s="32" t="s">
        <v>130</v>
      </c>
      <c r="B9" s="33" t="s">
        <v>131</v>
      </c>
    </row>
    <row r="10" spans="1:2" ht="30" customHeight="1" x14ac:dyDescent="0.3">
      <c r="A10" s="32" t="s">
        <v>132</v>
      </c>
      <c r="B10" s="33" t="s">
        <v>133</v>
      </c>
    </row>
    <row r="11" spans="1:2" ht="30" customHeight="1" x14ac:dyDescent="0.3">
      <c r="A11" s="32" t="s">
        <v>134</v>
      </c>
      <c r="B11" s="33" t="s">
        <v>135</v>
      </c>
    </row>
    <row r="12" spans="1:2" ht="30" customHeight="1" x14ac:dyDescent="0.3">
      <c r="A12" s="32" t="s">
        <v>136</v>
      </c>
      <c r="B12" s="33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2026-09-23T19:01:54Z</dcterms:created>
  <dcterms:modified xsi:type="dcterms:W3CDTF">2026-09-23T19:02:15Z</dcterms:modified>
</cp:coreProperties>
</file>