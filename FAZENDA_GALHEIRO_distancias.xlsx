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C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8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GALHEIRO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QL-14</t>
        </is>
      </c>
      <c r="B5" s="5" t="n">
        <v>264.92</v>
      </c>
      <c r="C5" s="6" t="n">
        <v>6610</v>
      </c>
      <c r="D5" s="7" t="n">
        <v>23913</v>
      </c>
      <c r="E5" s="7" t="n">
        <v>20633</v>
      </c>
      <c r="F5" s="7" t="n">
        <v>18196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QL-12</t>
        </is>
      </c>
      <c r="B6" s="12" t="n">
        <v>93.40000000000001</v>
      </c>
      <c r="C6" s="13" t="n">
        <v>4095</v>
      </c>
      <c r="D6" s="14" t="n">
        <v>22856</v>
      </c>
      <c r="E6" s="14" t="n">
        <v>20819</v>
      </c>
      <c r="F6" s="14" t="n">
        <v>15632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QL-13</t>
        </is>
      </c>
      <c r="B7" s="5" t="n">
        <v>206.71</v>
      </c>
      <c r="C7" s="6" t="n">
        <v>5758</v>
      </c>
      <c r="D7" s="7" t="n">
        <v>22837</v>
      </c>
      <c r="E7" s="7" t="n">
        <v>19979</v>
      </c>
      <c r="F7" s="7" t="n">
        <v>16801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QL-05</t>
        </is>
      </c>
      <c r="B8" s="12" t="n">
        <v>101.29</v>
      </c>
      <c r="C8" s="13" t="n">
        <v>4656</v>
      </c>
      <c r="D8" s="14" t="n">
        <v>16634</v>
      </c>
      <c r="E8" s="14" t="n">
        <v>15033</v>
      </c>
      <c r="F8" s="14" t="n">
        <v>13485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QL-04</t>
        </is>
      </c>
      <c r="B9" s="5" t="n">
        <v>187.98</v>
      </c>
      <c r="C9" s="6" t="n">
        <v>5527</v>
      </c>
      <c r="D9" s="7" t="n">
        <v>15971</v>
      </c>
      <c r="E9" s="7" t="n">
        <v>13820</v>
      </c>
      <c r="F9" s="7" t="n">
        <v>12272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QL-09</t>
        </is>
      </c>
      <c r="B10" s="12" t="n">
        <v>112.46</v>
      </c>
      <c r="C10" s="13" t="n">
        <v>4616</v>
      </c>
      <c r="D10" s="14" t="n">
        <v>15941</v>
      </c>
      <c r="E10" s="14" t="n">
        <v>14469</v>
      </c>
      <c r="F10" s="14" t="n">
        <v>12954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QL-11</t>
        </is>
      </c>
      <c r="B11" s="5" t="n">
        <v>105.12</v>
      </c>
      <c r="C11" s="6" t="n">
        <v>4649</v>
      </c>
      <c r="D11" s="7" t="n">
        <v>15668</v>
      </c>
      <c r="E11" s="7" t="n">
        <v>13821</v>
      </c>
      <c r="F11" s="7" t="n">
        <v>12254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QL-08</t>
        </is>
      </c>
      <c r="B12" s="12" t="n">
        <v>110.65</v>
      </c>
      <c r="C12" s="13" t="n">
        <v>4294</v>
      </c>
      <c r="D12" s="14" t="n">
        <v>15429</v>
      </c>
      <c r="E12" s="14" t="n">
        <v>13423</v>
      </c>
      <c r="F12" s="14" t="n">
        <v>12248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R-48</t>
        </is>
      </c>
      <c r="B13" s="5" t="n">
        <v>34.1</v>
      </c>
      <c r="C13" s="6" t="n">
        <v>2974</v>
      </c>
      <c r="D13" s="7" t="n">
        <v>14890</v>
      </c>
      <c r="E13" s="7" t="n">
        <v>13421</v>
      </c>
      <c r="F13" s="7" t="n">
        <v>10498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QL-10</t>
        </is>
      </c>
      <c r="B14" s="12" t="n">
        <v>24.13</v>
      </c>
      <c r="C14" s="13" t="n">
        <v>2354</v>
      </c>
      <c r="D14" s="14" t="n">
        <v>14736</v>
      </c>
      <c r="E14" s="14" t="n">
        <v>13569</v>
      </c>
      <c r="F14" s="14" t="n">
        <v>11750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QL-03</t>
        </is>
      </c>
      <c r="B15" s="5" t="n">
        <v>150.12</v>
      </c>
      <c r="C15" s="6" t="n">
        <v>5537</v>
      </c>
      <c r="D15" s="7" t="n">
        <v>14679</v>
      </c>
      <c r="E15" s="7" t="n">
        <v>12769</v>
      </c>
      <c r="F15" s="7" t="n">
        <v>10594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QL-02</t>
        </is>
      </c>
      <c r="B16" s="12" t="n">
        <v>115.34</v>
      </c>
      <c r="C16" s="13" t="n">
        <v>4522</v>
      </c>
      <c r="D16" s="14" t="n">
        <v>14678</v>
      </c>
      <c r="E16" s="14" t="n">
        <v>12435</v>
      </c>
      <c r="F16" s="14" t="n">
        <v>10721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R-46B</t>
        </is>
      </c>
      <c r="B17" s="5" t="n">
        <v>43.82</v>
      </c>
      <c r="C17" s="6" t="n">
        <v>2753</v>
      </c>
      <c r="D17" s="7" t="n">
        <v>14495</v>
      </c>
      <c r="E17" s="7" t="n">
        <v>13153</v>
      </c>
      <c r="F17" s="7" t="n">
        <v>10975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R-47</t>
        </is>
      </c>
      <c r="B18" s="12" t="n">
        <v>102.6</v>
      </c>
      <c r="C18" s="13" t="n">
        <v>4825</v>
      </c>
      <c r="D18" s="14" t="n">
        <v>14479</v>
      </c>
      <c r="E18" s="14" t="n">
        <v>12078</v>
      </c>
      <c r="F18" s="14" t="n">
        <v>9340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QL-07</t>
        </is>
      </c>
      <c r="B19" s="5" t="n">
        <v>148.64</v>
      </c>
      <c r="C19" s="6" t="n">
        <v>5030</v>
      </c>
      <c r="D19" s="7" t="n">
        <v>14361</v>
      </c>
      <c r="E19" s="7" t="n">
        <v>12403</v>
      </c>
      <c r="F19" s="7" t="n">
        <v>11235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R-46A</t>
        </is>
      </c>
      <c r="B20" s="12" t="n">
        <v>53.75</v>
      </c>
      <c r="C20" s="13" t="n">
        <v>2912</v>
      </c>
      <c r="D20" s="14" t="n">
        <v>14048</v>
      </c>
      <c r="E20" s="14" t="n">
        <v>12597</v>
      </c>
      <c r="F20" s="14" t="n">
        <v>10887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R-46</t>
        </is>
      </c>
      <c r="B21" s="5" t="n">
        <v>94.06999999999999</v>
      </c>
      <c r="C21" s="6" t="n">
        <v>4113</v>
      </c>
      <c r="D21" s="7" t="n">
        <v>14032</v>
      </c>
      <c r="E21" s="7" t="n">
        <v>12039</v>
      </c>
      <c r="F21" s="7" t="n">
        <v>10302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QL-06</t>
        </is>
      </c>
      <c r="B22" s="12" t="n">
        <v>39.91</v>
      </c>
      <c r="C22" s="13" t="n">
        <v>3529</v>
      </c>
      <c r="D22" s="14" t="n">
        <v>13755</v>
      </c>
      <c r="E22" s="14" t="n">
        <v>12624</v>
      </c>
      <c r="F22" s="14" t="n">
        <v>10408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R-42A</t>
        </is>
      </c>
      <c r="B23" s="5" t="n">
        <v>126.64</v>
      </c>
      <c r="C23" s="6" t="n">
        <v>5111</v>
      </c>
      <c r="D23" s="7" t="n">
        <v>13642</v>
      </c>
      <c r="E23" s="7" t="n">
        <v>11282</v>
      </c>
      <c r="F23" s="7" t="n">
        <v>10088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R-45</t>
        </is>
      </c>
      <c r="B24" s="12" t="n">
        <v>136.09</v>
      </c>
      <c r="C24" s="13" t="n">
        <v>5014</v>
      </c>
      <c r="D24" s="14" t="n">
        <v>13420</v>
      </c>
      <c r="E24" s="14" t="n">
        <v>10933</v>
      </c>
      <c r="F24" s="14" t="n">
        <v>9246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QL-01</t>
        </is>
      </c>
      <c r="B25" s="5" t="n">
        <v>91.09</v>
      </c>
      <c r="C25" s="6" t="n">
        <v>4800</v>
      </c>
      <c r="D25" s="7" t="n">
        <v>13287</v>
      </c>
      <c r="E25" s="7" t="n">
        <v>11002</v>
      </c>
      <c r="F25" s="7" t="n">
        <v>9296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R-44</t>
        </is>
      </c>
      <c r="B26" s="12" t="n">
        <v>80.59999999999999</v>
      </c>
      <c r="C26" s="13" t="n">
        <v>5657</v>
      </c>
      <c r="D26" s="14" t="n">
        <v>13093</v>
      </c>
      <c r="E26" s="14" t="n">
        <v>10267</v>
      </c>
      <c r="F26" s="14" t="n">
        <v>8590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R-18</t>
        </is>
      </c>
      <c r="B27" s="5" t="n">
        <v>153.23</v>
      </c>
      <c r="C27" s="6" t="n">
        <v>5829</v>
      </c>
      <c r="D27" s="7" t="n">
        <v>12961</v>
      </c>
      <c r="E27" s="7" t="n">
        <v>10677</v>
      </c>
      <c r="F27" s="7" t="n">
        <v>9272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R-43</t>
        </is>
      </c>
      <c r="B28" s="12" t="n">
        <v>78.33</v>
      </c>
      <c r="C28" s="13" t="n">
        <v>5069</v>
      </c>
      <c r="D28" s="14" t="n">
        <v>12722</v>
      </c>
      <c r="E28" s="14" t="n">
        <v>10259</v>
      </c>
      <c r="F28" s="14" t="n">
        <v>7908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R-42</t>
        </is>
      </c>
      <c r="B29" s="5" t="n">
        <v>89.23</v>
      </c>
      <c r="C29" s="6" t="n">
        <v>4478</v>
      </c>
      <c r="D29" s="7" t="n">
        <v>12684</v>
      </c>
      <c r="E29" s="7" t="n">
        <v>10682</v>
      </c>
      <c r="F29" s="7" t="n">
        <v>9491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R-17A</t>
        </is>
      </c>
      <c r="B30" s="12" t="n">
        <v>53.73</v>
      </c>
      <c r="C30" s="13" t="n">
        <v>3498</v>
      </c>
      <c r="D30" s="14" t="n">
        <v>12267</v>
      </c>
      <c r="E30" s="14" t="n">
        <v>10523</v>
      </c>
      <c r="F30" s="14" t="n">
        <v>8569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R-08</t>
        </is>
      </c>
      <c r="B31" s="5" t="n">
        <v>64.98</v>
      </c>
      <c r="C31" s="6" t="n">
        <v>4902</v>
      </c>
      <c r="D31" s="7" t="n">
        <v>12265</v>
      </c>
      <c r="E31" s="7" t="n">
        <v>10244</v>
      </c>
      <c r="F31" s="7" t="n">
        <v>7606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R-41</t>
        </is>
      </c>
      <c r="B32" s="12" t="n">
        <v>176.39</v>
      </c>
      <c r="C32" s="13" t="n">
        <v>5505</v>
      </c>
      <c r="D32" s="14" t="n">
        <v>12041</v>
      </c>
      <c r="E32" s="14" t="n">
        <v>9400</v>
      </c>
      <c r="F32" s="14" t="n">
        <v>8188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R-05A</t>
        </is>
      </c>
      <c r="B33" s="5" t="n">
        <v>37.01</v>
      </c>
      <c r="C33" s="6" t="n">
        <v>2635</v>
      </c>
      <c r="D33" s="7" t="n">
        <v>11766</v>
      </c>
      <c r="E33" s="7" t="n">
        <v>10625</v>
      </c>
      <c r="F33" s="7" t="n">
        <v>8660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R-07</t>
        </is>
      </c>
      <c r="B34" s="12" t="n">
        <v>136.11</v>
      </c>
      <c r="C34" s="13" t="n">
        <v>5358</v>
      </c>
      <c r="D34" s="14" t="n">
        <v>11598</v>
      </c>
      <c r="E34" s="14" t="n">
        <v>9114</v>
      </c>
      <c r="F34" s="14" t="n">
        <v>5516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R-45A</t>
        </is>
      </c>
      <c r="B35" s="5" t="n">
        <v>50.57</v>
      </c>
      <c r="C35" s="6" t="n">
        <v>3913</v>
      </c>
      <c r="D35" s="7" t="n">
        <v>11594</v>
      </c>
      <c r="E35" s="7" t="n">
        <v>9649</v>
      </c>
      <c r="F35" s="7" t="n">
        <v>5528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R-05</t>
        </is>
      </c>
      <c r="B36" s="12" t="n">
        <v>113.15</v>
      </c>
      <c r="C36" s="13" t="n">
        <v>4286</v>
      </c>
      <c r="D36" s="14" t="n">
        <v>11411</v>
      </c>
      <c r="E36" s="14" t="n">
        <v>9499</v>
      </c>
      <c r="F36" s="14" t="n">
        <v>7671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R-37</t>
        </is>
      </c>
      <c r="B37" s="5" t="n">
        <v>74.59</v>
      </c>
      <c r="C37" s="6" t="n">
        <v>3596</v>
      </c>
      <c r="D37" s="7" t="n">
        <v>11140</v>
      </c>
      <c r="E37" s="7" t="n">
        <v>9356</v>
      </c>
      <c r="F37" s="7" t="n">
        <v>7374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R-36</t>
        </is>
      </c>
      <c r="B38" s="12" t="n">
        <v>101.05</v>
      </c>
      <c r="C38" s="13" t="n">
        <v>4269</v>
      </c>
      <c r="D38" s="14" t="n">
        <v>10963</v>
      </c>
      <c r="E38" s="14" t="n">
        <v>8953</v>
      </c>
      <c r="F38" s="14" t="n">
        <v>6867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R-40</t>
        </is>
      </c>
      <c r="B39" s="5" t="n">
        <v>86.20999999999999</v>
      </c>
      <c r="C39" s="6" t="n">
        <v>5979</v>
      </c>
      <c r="D39" s="7" t="n">
        <v>10744</v>
      </c>
      <c r="E39" s="7" t="n">
        <v>7885</v>
      </c>
      <c r="F39" s="7" t="n">
        <v>6802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R-06</t>
        </is>
      </c>
      <c r="B40" s="12" t="n">
        <v>57.95</v>
      </c>
      <c r="C40" s="13" t="n">
        <v>4422</v>
      </c>
      <c r="D40" s="14" t="n">
        <v>10721</v>
      </c>
      <c r="E40" s="14" t="n">
        <v>8543</v>
      </c>
      <c r="F40" s="14" t="n">
        <v>4986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18" t="inlineStr">
        <is>
          <t>R-17B</t>
        </is>
      </c>
      <c r="B41" s="19" t="n">
        <v>37.21</v>
      </c>
      <c r="C41" s="20" t="n">
        <v>2593</v>
      </c>
      <c r="D41" s="21" t="n">
        <v>10595</v>
      </c>
      <c r="E41" s="21" t="n">
        <v>9302</v>
      </c>
      <c r="F41" s="21" t="n">
        <v>7608</v>
      </c>
      <c r="G41" s="22">
        <f>D41/1000</f>
        <v/>
      </c>
      <c r="H41" s="22">
        <f>E41/1000</f>
        <v/>
      </c>
      <c r="I41" s="23">
        <f>IFERROR(D41/F41,"")</f>
        <v/>
      </c>
      <c r="J41" s="24" t="inlineStr">
        <is>
          <t>inclui 161 m de ligação suposta — confirmar</t>
        </is>
      </c>
    </row>
    <row r="42">
      <c r="A42" s="11" t="inlineStr">
        <is>
          <t>R-33</t>
        </is>
      </c>
      <c r="B42" s="12" t="n">
        <v>80.05</v>
      </c>
      <c r="C42" s="13" t="n">
        <v>4985</v>
      </c>
      <c r="D42" s="14" t="n">
        <v>10551</v>
      </c>
      <c r="E42" s="14" t="n">
        <v>8149</v>
      </c>
      <c r="F42" s="14" t="n">
        <v>5847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4" t="inlineStr">
        <is>
          <t>R-35</t>
        </is>
      </c>
      <c r="B43" s="5" t="n">
        <v>96.41</v>
      </c>
      <c r="C43" s="6" t="n">
        <v>4554</v>
      </c>
      <c r="D43" s="7" t="n">
        <v>10499</v>
      </c>
      <c r="E43" s="7" t="n">
        <v>8386</v>
      </c>
      <c r="F43" s="7" t="n">
        <v>6968</v>
      </c>
      <c r="G43" s="8">
        <f>D43/1000</f>
        <v/>
      </c>
      <c r="H43" s="8">
        <f>E43/1000</f>
        <v/>
      </c>
      <c r="I43" s="9">
        <f>IFERROR(D43/F43,"")</f>
        <v/>
      </c>
      <c r="J43" s="10" t="inlineStr"/>
    </row>
    <row r="44">
      <c r="A44" s="11" t="inlineStr">
        <is>
          <t>T-CONF</t>
        </is>
      </c>
      <c r="B44" s="12" t="n">
        <v>0.21</v>
      </c>
      <c r="C44" s="13" t="n">
        <v>206</v>
      </c>
      <c r="D44" s="14" t="n">
        <v>10472</v>
      </c>
      <c r="E44" s="14" t="n">
        <v>10372</v>
      </c>
      <c r="F44" s="14" t="n">
        <v>9173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R-04</t>
        </is>
      </c>
      <c r="B45" s="5" t="n">
        <v>194.16</v>
      </c>
      <c r="C45" s="6" t="n">
        <v>6605</v>
      </c>
      <c r="D45" s="7" t="n">
        <v>10466</v>
      </c>
      <c r="E45" s="7" t="n">
        <v>7815</v>
      </c>
      <c r="F45" s="7" t="n">
        <v>6121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R-26</t>
        </is>
      </c>
      <c r="B46" s="12" t="n">
        <v>246.77</v>
      </c>
      <c r="C46" s="13" t="n">
        <v>6525</v>
      </c>
      <c r="D46" s="14" t="n">
        <v>10087</v>
      </c>
      <c r="E46" s="14" t="n">
        <v>7486</v>
      </c>
      <c r="F46" s="14" t="n">
        <v>5164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4" t="inlineStr">
        <is>
          <t>R-34A</t>
        </is>
      </c>
      <c r="B47" s="5" t="n">
        <v>45.19</v>
      </c>
      <c r="C47" s="6" t="n">
        <v>2949</v>
      </c>
      <c r="D47" s="7" t="n">
        <v>9453</v>
      </c>
      <c r="E47" s="7" t="n">
        <v>7997</v>
      </c>
      <c r="F47" s="7" t="n">
        <v>6598</v>
      </c>
      <c r="G47" s="8">
        <f>D47/1000</f>
        <v/>
      </c>
      <c r="H47" s="8">
        <f>E47/1000</f>
        <v/>
      </c>
      <c r="I47" s="9">
        <f>IFERROR(D47/F47,"")</f>
        <v/>
      </c>
      <c r="J47" s="10" t="inlineStr"/>
    </row>
    <row r="48">
      <c r="A48" s="11" t="inlineStr">
        <is>
          <t>R-16</t>
        </is>
      </c>
      <c r="B48" s="12" t="n">
        <v>91.39</v>
      </c>
      <c r="C48" s="13" t="n">
        <v>4209</v>
      </c>
      <c r="D48" s="14" t="n">
        <v>9412</v>
      </c>
      <c r="E48" s="14" t="n">
        <v>7490</v>
      </c>
      <c r="F48" s="14" t="n">
        <v>6096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R-22</t>
        </is>
      </c>
      <c r="B49" s="5" t="n">
        <v>176.33</v>
      </c>
      <c r="C49" s="6" t="n">
        <v>5651</v>
      </c>
      <c r="D49" s="7" t="n">
        <v>9174</v>
      </c>
      <c r="E49" s="7" t="n">
        <v>6380</v>
      </c>
      <c r="F49" s="7" t="n">
        <v>5142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1" t="inlineStr">
        <is>
          <t>R-32</t>
        </is>
      </c>
      <c r="B50" s="12" t="n">
        <v>69.05</v>
      </c>
      <c r="C50" s="13" t="n">
        <v>3569</v>
      </c>
      <c r="D50" s="14" t="n">
        <v>9111</v>
      </c>
      <c r="E50" s="14" t="n">
        <v>7345</v>
      </c>
      <c r="F50" s="14" t="n">
        <v>5170</v>
      </c>
      <c r="G50" s="15">
        <f>D50/1000</f>
        <v/>
      </c>
      <c r="H50" s="15">
        <f>E50/1000</f>
        <v/>
      </c>
      <c r="I50" s="16">
        <f>IFERROR(D50/F50,"")</f>
        <v/>
      </c>
      <c r="J50" s="17" t="inlineStr"/>
    </row>
    <row r="51">
      <c r="A51" s="4" t="inlineStr">
        <is>
          <t>R-31</t>
        </is>
      </c>
      <c r="B51" s="5" t="n">
        <v>60.78</v>
      </c>
      <c r="C51" s="6" t="n">
        <v>4221</v>
      </c>
      <c r="D51" s="7" t="n">
        <v>9020</v>
      </c>
      <c r="E51" s="7" t="n">
        <v>6968</v>
      </c>
      <c r="F51" s="7" t="n">
        <v>4970</v>
      </c>
      <c r="G51" s="8">
        <f>D51/1000</f>
        <v/>
      </c>
      <c r="H51" s="8">
        <f>E51/1000</f>
        <v/>
      </c>
      <c r="I51" s="9">
        <f>IFERROR(D51/F51,"")</f>
        <v/>
      </c>
      <c r="J51" s="10" t="inlineStr"/>
    </row>
    <row r="52">
      <c r="A52" s="11" t="inlineStr">
        <is>
          <t>R-19A</t>
        </is>
      </c>
      <c r="B52" s="12" t="n">
        <v>120.66</v>
      </c>
      <c r="C52" s="13" t="n">
        <v>4600</v>
      </c>
      <c r="D52" s="14" t="n">
        <v>8815</v>
      </c>
      <c r="E52" s="14" t="n">
        <v>6735</v>
      </c>
      <c r="F52" s="14" t="n">
        <v>5126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4" t="inlineStr">
        <is>
          <t>G-23</t>
        </is>
      </c>
      <c r="B53" s="5" t="n">
        <v>109.38</v>
      </c>
      <c r="C53" s="6" t="n">
        <v>5079</v>
      </c>
      <c r="D53" s="7" t="n">
        <v>8671</v>
      </c>
      <c r="E53" s="7" t="n">
        <v>6181</v>
      </c>
      <c r="F53" s="7" t="n">
        <v>5761</v>
      </c>
      <c r="G53" s="8">
        <f>D53/1000</f>
        <v/>
      </c>
      <c r="H53" s="8">
        <f>E53/1000</f>
        <v/>
      </c>
      <c r="I53" s="9">
        <f>IFERROR(D53/F53,"")</f>
        <v/>
      </c>
      <c r="J53" s="10" t="inlineStr"/>
    </row>
    <row r="54">
      <c r="A54" s="11" t="inlineStr">
        <is>
          <t>R-34</t>
        </is>
      </c>
      <c r="B54" s="12" t="n">
        <v>48.41</v>
      </c>
      <c r="C54" s="13" t="n">
        <v>2741</v>
      </c>
      <c r="D54" s="14" t="n">
        <v>8609</v>
      </c>
      <c r="E54" s="14" t="n">
        <v>7261</v>
      </c>
      <c r="F54" s="14" t="n">
        <v>6276</v>
      </c>
      <c r="G54" s="15">
        <f>D54/1000</f>
        <v/>
      </c>
      <c r="H54" s="15">
        <f>E54/1000</f>
        <v/>
      </c>
      <c r="I54" s="16">
        <f>IFERROR(D54/F54,"")</f>
        <v/>
      </c>
      <c r="J54" s="17" t="inlineStr"/>
    </row>
    <row r="55">
      <c r="A55" s="4" t="inlineStr">
        <is>
          <t>R-03</t>
        </is>
      </c>
      <c r="B55" s="5" t="n">
        <v>104.78</v>
      </c>
      <c r="C55" s="6" t="n">
        <v>4041</v>
      </c>
      <c r="D55" s="7" t="n">
        <v>8477</v>
      </c>
      <c r="E55" s="7" t="n">
        <v>6470</v>
      </c>
      <c r="F55" s="7" t="n">
        <v>3978</v>
      </c>
      <c r="G55" s="8">
        <f>D55/1000</f>
        <v/>
      </c>
      <c r="H55" s="8">
        <f>E55/1000</f>
        <v/>
      </c>
      <c r="I55" s="9">
        <f>IFERROR(D55/F55,"")</f>
        <v/>
      </c>
      <c r="J55" s="10" t="inlineStr"/>
    </row>
    <row r="56">
      <c r="A56" s="11" t="inlineStr">
        <is>
          <t>R-30</t>
        </is>
      </c>
      <c r="B56" s="12" t="n">
        <v>79.15000000000001</v>
      </c>
      <c r="C56" s="13" t="n">
        <v>4180</v>
      </c>
      <c r="D56" s="14" t="n">
        <v>8403</v>
      </c>
      <c r="E56" s="14" t="n">
        <v>6389</v>
      </c>
      <c r="F56" s="14" t="n">
        <v>4408</v>
      </c>
      <c r="G56" s="15">
        <f>D56/1000</f>
        <v/>
      </c>
      <c r="H56" s="15">
        <f>E56/1000</f>
        <v/>
      </c>
      <c r="I56" s="16">
        <f>IFERROR(D56/F56,"")</f>
        <v/>
      </c>
      <c r="J56" s="17" t="inlineStr"/>
    </row>
    <row r="57">
      <c r="A57" s="4" t="inlineStr">
        <is>
          <t>G-17</t>
        </is>
      </c>
      <c r="B57" s="5" t="n">
        <v>94.77</v>
      </c>
      <c r="C57" s="6" t="n">
        <v>4462</v>
      </c>
      <c r="D57" s="7" t="n">
        <v>8387</v>
      </c>
      <c r="E57" s="7" t="n">
        <v>6177</v>
      </c>
      <c r="F57" s="7" t="n">
        <v>5843</v>
      </c>
      <c r="G57" s="8">
        <f>D57/1000</f>
        <v/>
      </c>
      <c r="H57" s="8">
        <f>E57/1000</f>
        <v/>
      </c>
      <c r="I57" s="9">
        <f>IFERROR(D57/F57,"")</f>
        <v/>
      </c>
      <c r="J57" s="10" t="inlineStr"/>
    </row>
    <row r="58">
      <c r="A58" s="11" t="inlineStr">
        <is>
          <t>G-01</t>
        </is>
      </c>
      <c r="B58" s="12" t="n">
        <v>74.45999999999999</v>
      </c>
      <c r="C58" s="13" t="n">
        <v>4140</v>
      </c>
      <c r="D58" s="14" t="n">
        <v>8270</v>
      </c>
      <c r="E58" s="14" t="n">
        <v>6320</v>
      </c>
      <c r="F58" s="14" t="n">
        <v>5525</v>
      </c>
      <c r="G58" s="15">
        <f>D58/1000</f>
        <v/>
      </c>
      <c r="H58" s="15">
        <f>E58/1000</f>
        <v/>
      </c>
      <c r="I58" s="16">
        <f>IFERROR(D58/F58,"")</f>
        <v/>
      </c>
      <c r="J58" s="17" t="inlineStr"/>
    </row>
    <row r="59">
      <c r="A59" s="4" t="inlineStr">
        <is>
          <t>R-25</t>
        </is>
      </c>
      <c r="B59" s="5" t="n">
        <v>209.08</v>
      </c>
      <c r="C59" s="6" t="n">
        <v>5759</v>
      </c>
      <c r="D59" s="7" t="n">
        <v>8266</v>
      </c>
      <c r="E59" s="7" t="n">
        <v>6294</v>
      </c>
      <c r="F59" s="7" t="n">
        <v>3630</v>
      </c>
      <c r="G59" s="8">
        <f>D59/1000</f>
        <v/>
      </c>
      <c r="H59" s="8">
        <f>E59/1000</f>
        <v/>
      </c>
      <c r="I59" s="9">
        <f>IFERROR(D59/F59,"")</f>
        <v/>
      </c>
      <c r="J59" s="10" t="inlineStr"/>
    </row>
    <row r="60">
      <c r="A60" s="11" t="inlineStr">
        <is>
          <t>R-02</t>
        </is>
      </c>
      <c r="B60" s="12" t="n">
        <v>90.05</v>
      </c>
      <c r="C60" s="13" t="n">
        <v>4519</v>
      </c>
      <c r="D60" s="14" t="n">
        <v>8264</v>
      </c>
      <c r="E60" s="14" t="n">
        <v>6012</v>
      </c>
      <c r="F60" s="14" t="n">
        <v>4488</v>
      </c>
      <c r="G60" s="15">
        <f>D60/1000</f>
        <v/>
      </c>
      <c r="H60" s="15">
        <f>E60/1000</f>
        <v/>
      </c>
      <c r="I60" s="16">
        <f>IFERROR(D60/F60,"")</f>
        <v/>
      </c>
      <c r="J60" s="17" t="inlineStr"/>
    </row>
    <row r="61">
      <c r="A61" s="4" t="inlineStr">
        <is>
          <t>R-15</t>
        </is>
      </c>
      <c r="B61" s="5" t="n">
        <v>110.4</v>
      </c>
      <c r="C61" s="6" t="n">
        <v>5184</v>
      </c>
      <c r="D61" s="7" t="n">
        <v>7893</v>
      </c>
      <c r="E61" s="7" t="n">
        <v>5850</v>
      </c>
      <c r="F61" s="7" t="n">
        <v>4447</v>
      </c>
      <c r="G61" s="8">
        <f>D61/1000</f>
        <v/>
      </c>
      <c r="H61" s="8">
        <f>E61/1000</f>
        <v/>
      </c>
      <c r="I61" s="9">
        <f>IFERROR(D61/F61,"")</f>
        <v/>
      </c>
      <c r="J61" s="10" t="inlineStr"/>
    </row>
    <row r="62">
      <c r="A62" s="11" t="inlineStr">
        <is>
          <t>G-02</t>
        </is>
      </c>
      <c r="B62" s="12" t="n">
        <v>171.84</v>
      </c>
      <c r="C62" s="13" t="n">
        <v>5330</v>
      </c>
      <c r="D62" s="14" t="n">
        <v>7735</v>
      </c>
      <c r="E62" s="14" t="n">
        <v>5344</v>
      </c>
      <c r="F62" s="14" t="n">
        <v>4557</v>
      </c>
      <c r="G62" s="15">
        <f>D62/1000</f>
        <v/>
      </c>
      <c r="H62" s="15">
        <f>E62/1000</f>
        <v/>
      </c>
      <c r="I62" s="16">
        <f>IFERROR(D62/F62,"")</f>
        <v/>
      </c>
      <c r="J62" s="17" t="inlineStr"/>
    </row>
    <row r="63">
      <c r="A63" s="4" t="inlineStr">
        <is>
          <t>G-24B</t>
        </is>
      </c>
      <c r="B63" s="5" t="n">
        <v>104.14</v>
      </c>
      <c r="C63" s="6" t="n">
        <v>4954</v>
      </c>
      <c r="D63" s="7" t="n">
        <v>7732</v>
      </c>
      <c r="E63" s="7" t="n">
        <v>5316</v>
      </c>
      <c r="F63" s="7" t="n">
        <v>4772</v>
      </c>
      <c r="G63" s="8">
        <f>D63/1000</f>
        <v/>
      </c>
      <c r="H63" s="8">
        <f>E63/1000</f>
        <v/>
      </c>
      <c r="I63" s="9">
        <f>IFERROR(D63/F63,"")</f>
        <v/>
      </c>
      <c r="J63" s="10" t="inlineStr"/>
    </row>
    <row r="64">
      <c r="A64" s="11" t="inlineStr">
        <is>
          <t>R-22A</t>
        </is>
      </c>
      <c r="B64" s="12" t="n">
        <v>43.93</v>
      </c>
      <c r="C64" s="13" t="n">
        <v>3465</v>
      </c>
      <c r="D64" s="14" t="n">
        <v>7710</v>
      </c>
      <c r="E64" s="14" t="n">
        <v>6034</v>
      </c>
      <c r="F64" s="14" t="n">
        <v>5178</v>
      </c>
      <c r="G64" s="15">
        <f>D64/1000</f>
        <v/>
      </c>
      <c r="H64" s="15">
        <f>E64/1000</f>
        <v/>
      </c>
      <c r="I64" s="16">
        <f>IFERROR(D64/F64,"")</f>
        <v/>
      </c>
      <c r="J64" s="17" t="inlineStr"/>
    </row>
    <row r="65">
      <c r="A65" s="4" t="inlineStr">
        <is>
          <t>R-21</t>
        </is>
      </c>
      <c r="B65" s="5" t="n">
        <v>139.38</v>
      </c>
      <c r="C65" s="6" t="n">
        <v>6112</v>
      </c>
      <c r="D65" s="7" t="n">
        <v>7689</v>
      </c>
      <c r="E65" s="7" t="n">
        <v>5165</v>
      </c>
      <c r="F65" s="7" t="n">
        <v>3767</v>
      </c>
      <c r="G65" s="8">
        <f>D65/1000</f>
        <v/>
      </c>
      <c r="H65" s="8">
        <f>E65/1000</f>
        <v/>
      </c>
      <c r="I65" s="9">
        <f>IFERROR(D65/F65,"")</f>
        <v/>
      </c>
      <c r="J65" s="10" t="inlineStr"/>
    </row>
    <row r="66">
      <c r="A66" s="11" t="inlineStr">
        <is>
          <t>G-0910</t>
        </is>
      </c>
      <c r="B66" s="12" t="n">
        <v>89.45999999999999</v>
      </c>
      <c r="C66" s="13" t="n">
        <v>4696</v>
      </c>
      <c r="D66" s="14" t="n">
        <v>7570</v>
      </c>
      <c r="E66" s="14" t="n">
        <v>5240</v>
      </c>
      <c r="F66" s="14" t="n">
        <v>4316</v>
      </c>
      <c r="G66" s="15">
        <f>D66/1000</f>
        <v/>
      </c>
      <c r="H66" s="15">
        <f>E66/1000</f>
        <v/>
      </c>
      <c r="I66" s="16">
        <f>IFERROR(D66/F66,"")</f>
        <v/>
      </c>
      <c r="J66" s="17" t="inlineStr"/>
    </row>
    <row r="67">
      <c r="A67" s="4" t="inlineStr">
        <is>
          <t>R-14</t>
        </is>
      </c>
      <c r="B67" s="5" t="n">
        <v>312.08</v>
      </c>
      <c r="C67" s="6" t="n">
        <v>8167</v>
      </c>
      <c r="D67" s="7" t="n">
        <v>7320</v>
      </c>
      <c r="E67" s="7" t="n">
        <v>3810</v>
      </c>
      <c r="F67" s="7" t="n">
        <v>2990</v>
      </c>
      <c r="G67" s="8">
        <f>D67/1000</f>
        <v/>
      </c>
      <c r="H67" s="8">
        <f>E67/1000</f>
        <v/>
      </c>
      <c r="I67" s="9">
        <f>IFERROR(D67/F67,"")</f>
        <v/>
      </c>
      <c r="J67" s="10" t="inlineStr"/>
    </row>
    <row r="68">
      <c r="A68" s="11" t="inlineStr">
        <is>
          <t>G-11</t>
        </is>
      </c>
      <c r="B68" s="12" t="n">
        <v>132.13</v>
      </c>
      <c r="C68" s="13" t="n">
        <v>5473</v>
      </c>
      <c r="D68" s="14" t="n">
        <v>7102</v>
      </c>
      <c r="E68" s="14" t="n">
        <v>4434</v>
      </c>
      <c r="F68" s="14" t="n">
        <v>3937</v>
      </c>
      <c r="G68" s="15">
        <f>D68/1000</f>
        <v/>
      </c>
      <c r="H68" s="15">
        <f>E68/1000</f>
        <v/>
      </c>
      <c r="I68" s="16">
        <f>IFERROR(D68/F68,"")</f>
        <v/>
      </c>
      <c r="J68" s="17" t="inlineStr"/>
    </row>
    <row r="69">
      <c r="A69" s="4" t="inlineStr">
        <is>
          <t>G-26</t>
        </is>
      </c>
      <c r="B69" s="5" t="n">
        <v>135.9</v>
      </c>
      <c r="C69" s="6" t="n">
        <v>5486</v>
      </c>
      <c r="D69" s="7" t="n">
        <v>6956</v>
      </c>
      <c r="E69" s="7" t="n">
        <v>4282</v>
      </c>
      <c r="F69" s="7" t="n">
        <v>3753</v>
      </c>
      <c r="G69" s="8">
        <f>D69/1000</f>
        <v/>
      </c>
      <c r="H69" s="8">
        <f>E69/1000</f>
        <v/>
      </c>
      <c r="I69" s="9">
        <f>IFERROR(D69/F69,"")</f>
        <v/>
      </c>
      <c r="J69" s="10" t="inlineStr"/>
    </row>
    <row r="70">
      <c r="A70" s="11" t="inlineStr">
        <is>
          <t>R-29</t>
        </is>
      </c>
      <c r="B70" s="12" t="n">
        <v>32.04</v>
      </c>
      <c r="C70" s="13" t="n">
        <v>2762</v>
      </c>
      <c r="D70" s="14" t="n">
        <v>6878</v>
      </c>
      <c r="E70" s="14" t="n">
        <v>5619</v>
      </c>
      <c r="F70" s="14" t="n">
        <v>3935</v>
      </c>
      <c r="G70" s="15">
        <f>D70/1000</f>
        <v/>
      </c>
      <c r="H70" s="15">
        <f>E70/1000</f>
        <v/>
      </c>
      <c r="I70" s="16">
        <f>IFERROR(D70/F70,"")</f>
        <v/>
      </c>
      <c r="J70" s="17" t="inlineStr"/>
    </row>
    <row r="71">
      <c r="A71" s="4" t="inlineStr">
        <is>
          <t>G-18</t>
        </is>
      </c>
      <c r="B71" s="5" t="n">
        <v>147.09</v>
      </c>
      <c r="C71" s="6" t="n">
        <v>6062</v>
      </c>
      <c r="D71" s="7" t="n">
        <v>6856</v>
      </c>
      <c r="E71" s="7" t="n">
        <v>4358</v>
      </c>
      <c r="F71" s="7" t="n">
        <v>3959</v>
      </c>
      <c r="G71" s="8">
        <f>D71/1000</f>
        <v/>
      </c>
      <c r="H71" s="8">
        <f>E71/1000</f>
        <v/>
      </c>
      <c r="I71" s="9">
        <f>IFERROR(D71/F71,"")</f>
        <v/>
      </c>
      <c r="J71" s="10" t="inlineStr"/>
    </row>
    <row r="72">
      <c r="A72" s="11" t="inlineStr">
        <is>
          <t>R-28</t>
        </is>
      </c>
      <c r="B72" s="12" t="n">
        <v>112.41</v>
      </c>
      <c r="C72" s="13" t="n">
        <v>4665</v>
      </c>
      <c r="D72" s="14" t="n">
        <v>6801</v>
      </c>
      <c r="E72" s="14" t="n">
        <v>4840</v>
      </c>
      <c r="F72" s="14" t="n">
        <v>3318</v>
      </c>
      <c r="G72" s="15">
        <f>D72/1000</f>
        <v/>
      </c>
      <c r="H72" s="15">
        <f>E72/1000</f>
        <v/>
      </c>
      <c r="I72" s="16">
        <f>IFERROR(D72/F72,"")</f>
        <v/>
      </c>
      <c r="J72" s="17" t="inlineStr"/>
    </row>
    <row r="73">
      <c r="A73" s="4" t="inlineStr">
        <is>
          <t>R-24</t>
        </is>
      </c>
      <c r="B73" s="5" t="n">
        <v>93.05</v>
      </c>
      <c r="C73" s="6" t="n">
        <v>3926</v>
      </c>
      <c r="D73" s="7" t="n">
        <v>6786</v>
      </c>
      <c r="E73" s="7" t="n">
        <v>4840</v>
      </c>
      <c r="F73" s="7" t="n">
        <v>3198</v>
      </c>
      <c r="G73" s="8">
        <f>D73/1000</f>
        <v/>
      </c>
      <c r="H73" s="8">
        <f>E73/1000</f>
        <v/>
      </c>
      <c r="I73" s="9">
        <f>IFERROR(D73/F73,"")</f>
        <v/>
      </c>
      <c r="J73" s="10" t="inlineStr"/>
    </row>
    <row r="74">
      <c r="A74" s="11" t="inlineStr">
        <is>
          <t>R-01</t>
        </is>
      </c>
      <c r="B74" s="12" t="n">
        <v>100.37</v>
      </c>
      <c r="C74" s="13" t="n">
        <v>4407</v>
      </c>
      <c r="D74" s="14" t="n">
        <v>6724</v>
      </c>
      <c r="E74" s="14" t="n">
        <v>4548</v>
      </c>
      <c r="F74" s="14" t="n">
        <v>2953</v>
      </c>
      <c r="G74" s="15">
        <f>D74/1000</f>
        <v/>
      </c>
      <c r="H74" s="15">
        <f>E74/1000</f>
        <v/>
      </c>
      <c r="I74" s="16">
        <f>IFERROR(D74/F74,"")</f>
        <v/>
      </c>
      <c r="J74" s="17" t="inlineStr"/>
    </row>
    <row r="75">
      <c r="A75" s="4" t="inlineStr">
        <is>
          <t>G-24A</t>
        </is>
      </c>
      <c r="B75" s="5" t="n">
        <v>58.54</v>
      </c>
      <c r="C75" s="6" t="n">
        <v>3224</v>
      </c>
      <c r="D75" s="7" t="n">
        <v>6648</v>
      </c>
      <c r="E75" s="7" t="n">
        <v>5165</v>
      </c>
      <c r="F75" s="7" t="n">
        <v>4831</v>
      </c>
      <c r="G75" s="8">
        <f>D75/1000</f>
        <v/>
      </c>
      <c r="H75" s="8">
        <f>E75/1000</f>
        <v/>
      </c>
      <c r="I75" s="9">
        <f>IFERROR(D75/F75,"")</f>
        <v/>
      </c>
      <c r="J75" s="10" t="inlineStr"/>
    </row>
    <row r="76">
      <c r="A76" s="11" t="inlineStr">
        <is>
          <t>G-03</t>
        </is>
      </c>
      <c r="B76" s="12" t="n">
        <v>108.02</v>
      </c>
      <c r="C76" s="13" t="n">
        <v>4421</v>
      </c>
      <c r="D76" s="14" t="n">
        <v>6553</v>
      </c>
      <c r="E76" s="14" t="n">
        <v>4652</v>
      </c>
      <c r="F76" s="14" t="n">
        <v>3884</v>
      </c>
      <c r="G76" s="15">
        <f>D76/1000</f>
        <v/>
      </c>
      <c r="H76" s="15">
        <f>E76/1000</f>
        <v/>
      </c>
      <c r="I76" s="16">
        <f>IFERROR(D76/F76,"")</f>
        <v/>
      </c>
      <c r="J76" s="17" t="inlineStr"/>
    </row>
    <row r="77">
      <c r="A77" s="4" t="inlineStr">
        <is>
          <t>R-23</t>
        </is>
      </c>
      <c r="B77" s="5" t="n">
        <v>127.02</v>
      </c>
      <c r="C77" s="6" t="n">
        <v>5903</v>
      </c>
      <c r="D77" s="7" t="n">
        <v>6552</v>
      </c>
      <c r="E77" s="7" t="n">
        <v>4083</v>
      </c>
      <c r="F77" s="7" t="n">
        <v>2368</v>
      </c>
      <c r="G77" s="8">
        <f>D77/1000</f>
        <v/>
      </c>
      <c r="H77" s="8">
        <f>E77/1000</f>
        <v/>
      </c>
      <c r="I77" s="9">
        <f>IFERROR(D77/F77,"")</f>
        <v/>
      </c>
      <c r="J77" s="10" t="inlineStr"/>
    </row>
    <row r="78">
      <c r="A78" s="18" t="inlineStr">
        <is>
          <t>R-19 20</t>
        </is>
      </c>
      <c r="B78" s="19" t="n">
        <v>247.22</v>
      </c>
      <c r="C78" s="20" t="n">
        <v>7477</v>
      </c>
      <c r="D78" s="21" t="n">
        <v>6057</v>
      </c>
      <c r="E78" s="21" t="n">
        <v>2334</v>
      </c>
      <c r="F78" s="21" t="n">
        <v>1751</v>
      </c>
      <c r="G78" s="22">
        <f>D78/1000</f>
        <v/>
      </c>
      <c r="H78" s="22">
        <f>E78/1000</f>
        <v/>
      </c>
      <c r="I78" s="23">
        <f>IFERROR(D78/F78,"")</f>
        <v/>
      </c>
      <c r="J78" s="25" t="inlineStr"/>
    </row>
    <row r="79">
      <c r="A79" s="4" t="inlineStr">
        <is>
          <t>R-27</t>
        </is>
      </c>
      <c r="B79" s="5" t="n">
        <v>96.41</v>
      </c>
      <c r="C79" s="6" t="n">
        <v>4397</v>
      </c>
      <c r="D79" s="7" t="n">
        <v>5832</v>
      </c>
      <c r="E79" s="7" t="n">
        <v>4082</v>
      </c>
      <c r="F79" s="7" t="n">
        <v>2762</v>
      </c>
      <c r="G79" s="8">
        <f>D79/1000</f>
        <v/>
      </c>
      <c r="H79" s="8">
        <f>E79/1000</f>
        <v/>
      </c>
      <c r="I79" s="9">
        <f>IFERROR(D79/F79,"")</f>
        <v/>
      </c>
      <c r="J79" s="10" t="inlineStr"/>
    </row>
    <row r="80">
      <c r="A80" s="11" t="inlineStr">
        <is>
          <t>G-04</t>
        </is>
      </c>
      <c r="B80" s="12" t="n">
        <v>95.56</v>
      </c>
      <c r="C80" s="13" t="n">
        <v>5072</v>
      </c>
      <c r="D80" s="14" t="n">
        <v>5791</v>
      </c>
      <c r="E80" s="14" t="n">
        <v>3277</v>
      </c>
      <c r="F80" s="14" t="n">
        <v>2553</v>
      </c>
      <c r="G80" s="15">
        <f>D80/1000</f>
        <v/>
      </c>
      <c r="H80" s="15">
        <f>E80/1000</f>
        <v/>
      </c>
      <c r="I80" s="16">
        <f>IFERROR(D80/F80,"")</f>
        <v/>
      </c>
      <c r="J80" s="17" t="inlineStr"/>
    </row>
    <row r="81">
      <c r="A81" s="4" t="inlineStr">
        <is>
          <t>G-19</t>
        </is>
      </c>
      <c r="B81" s="5" t="n">
        <v>120.74</v>
      </c>
      <c r="C81" s="6" t="n">
        <v>4912</v>
      </c>
      <c r="D81" s="7" t="n">
        <v>5626</v>
      </c>
      <c r="E81" s="7" t="n">
        <v>3859</v>
      </c>
      <c r="F81" s="7" t="n">
        <v>3467</v>
      </c>
      <c r="G81" s="8">
        <f>D81/1000</f>
        <v/>
      </c>
      <c r="H81" s="8">
        <f>E81/1000</f>
        <v/>
      </c>
      <c r="I81" s="9">
        <f>IFERROR(D81/F81,"")</f>
        <v/>
      </c>
      <c r="J81" s="10" t="inlineStr"/>
    </row>
    <row r="82">
      <c r="A82" s="11" t="inlineStr">
        <is>
          <t>G-12</t>
        </is>
      </c>
      <c r="B82" s="12" t="n">
        <v>113.56</v>
      </c>
      <c r="C82" s="13" t="n">
        <v>4624</v>
      </c>
      <c r="D82" s="14" t="n">
        <v>5620</v>
      </c>
      <c r="E82" s="14" t="n">
        <v>3844</v>
      </c>
      <c r="F82" s="14" t="n">
        <v>3449</v>
      </c>
      <c r="G82" s="15">
        <f>D82/1000</f>
        <v/>
      </c>
      <c r="H82" s="15">
        <f>E82/1000</f>
        <v/>
      </c>
      <c r="I82" s="16">
        <f>IFERROR(D82/F82,"")</f>
        <v/>
      </c>
      <c r="J82" s="17" t="inlineStr"/>
    </row>
    <row r="83">
      <c r="A83" s="4" t="inlineStr">
        <is>
          <t>G-25</t>
        </is>
      </c>
      <c r="B83" s="5" t="n">
        <v>60.32</v>
      </c>
      <c r="C83" s="6" t="n">
        <v>3294</v>
      </c>
      <c r="D83" s="7" t="n">
        <v>5539</v>
      </c>
      <c r="E83" s="7" t="n">
        <v>3986</v>
      </c>
      <c r="F83" s="7" t="n">
        <v>3665</v>
      </c>
      <c r="G83" s="8">
        <f>D83/1000</f>
        <v/>
      </c>
      <c r="H83" s="8">
        <f>E83/1000</f>
        <v/>
      </c>
      <c r="I83" s="9">
        <f>IFERROR(D83/F83,"")</f>
        <v/>
      </c>
      <c r="J83" s="10" t="inlineStr"/>
    </row>
    <row r="84">
      <c r="A84" s="18" t="inlineStr">
        <is>
          <t>R-09</t>
        </is>
      </c>
      <c r="B84" s="19" t="n">
        <v>158.96</v>
      </c>
      <c r="C84" s="20" t="n">
        <v>5463</v>
      </c>
      <c r="D84" s="21" t="n">
        <v>5426</v>
      </c>
      <c r="E84" s="21" t="n">
        <v>2906</v>
      </c>
      <c r="F84" s="21" t="n">
        <v>1794</v>
      </c>
      <c r="G84" s="22">
        <f>D84/1000</f>
        <v/>
      </c>
      <c r="H84" s="22">
        <f>E84/1000</f>
        <v/>
      </c>
      <c r="I84" s="23">
        <f>IFERROR(D84/F84,"")</f>
        <v/>
      </c>
      <c r="J84" s="25" t="inlineStr"/>
    </row>
    <row r="85">
      <c r="A85" s="4" t="inlineStr">
        <is>
          <t>G-27</t>
        </is>
      </c>
      <c r="B85" s="5" t="n">
        <v>126.14</v>
      </c>
      <c r="C85" s="6" t="n">
        <v>5327</v>
      </c>
      <c r="D85" s="7" t="n">
        <v>5291</v>
      </c>
      <c r="E85" s="7" t="n">
        <v>2811</v>
      </c>
      <c r="F85" s="7" t="n">
        <v>2501</v>
      </c>
      <c r="G85" s="8">
        <f>D85/1000</f>
        <v/>
      </c>
      <c r="H85" s="8">
        <f>E85/1000</f>
        <v/>
      </c>
      <c r="I85" s="9">
        <f>IFERROR(D85/F85,"")</f>
        <v/>
      </c>
      <c r="J85" s="10" t="inlineStr"/>
    </row>
    <row r="86">
      <c r="A86" s="11" t="inlineStr">
        <is>
          <t>G-05</t>
        </is>
      </c>
      <c r="B86" s="12" t="n">
        <v>134.35</v>
      </c>
      <c r="C86" s="13" t="n">
        <v>5374</v>
      </c>
      <c r="D86" s="14" t="n">
        <v>5248</v>
      </c>
      <c r="E86" s="14" t="n">
        <v>2759</v>
      </c>
      <c r="F86" s="14" t="n">
        <v>1928</v>
      </c>
      <c r="G86" s="15">
        <f>D86/1000</f>
        <v/>
      </c>
      <c r="H86" s="15">
        <f>E86/1000</f>
        <v/>
      </c>
      <c r="I86" s="16">
        <f>IFERROR(D86/F86,"")</f>
        <v/>
      </c>
      <c r="J86" s="17" t="inlineStr"/>
    </row>
    <row r="87">
      <c r="A87" s="4" t="inlineStr">
        <is>
          <t>G-13B</t>
        </is>
      </c>
      <c r="B87" s="5" t="n">
        <v>77.3</v>
      </c>
      <c r="C87" s="6" t="n">
        <v>3938</v>
      </c>
      <c r="D87" s="7" t="n">
        <v>4828</v>
      </c>
      <c r="E87" s="7" t="n">
        <v>3404</v>
      </c>
      <c r="F87" s="7" t="n">
        <v>2947</v>
      </c>
      <c r="G87" s="8">
        <f>D87/1000</f>
        <v/>
      </c>
      <c r="H87" s="8">
        <f>E87/1000</f>
        <v/>
      </c>
      <c r="I87" s="9">
        <f>IFERROR(D87/F87,"")</f>
        <v/>
      </c>
      <c r="J87" s="10" t="inlineStr"/>
    </row>
    <row r="88">
      <c r="A88" s="11" t="inlineStr">
        <is>
          <t>R-13</t>
        </is>
      </c>
      <c r="B88" s="12" t="n">
        <v>109.08</v>
      </c>
      <c r="C88" s="13" t="n">
        <v>4750</v>
      </c>
      <c r="D88" s="14" t="n">
        <v>4698</v>
      </c>
      <c r="E88" s="14" t="n">
        <v>2334</v>
      </c>
      <c r="F88" s="14" t="n">
        <v>1817</v>
      </c>
      <c r="G88" s="15">
        <f>D88/1000</f>
        <v/>
      </c>
      <c r="H88" s="15">
        <f>E88/1000</f>
        <v/>
      </c>
      <c r="I88" s="16">
        <f>IFERROR(D88/F88,"")</f>
        <v/>
      </c>
      <c r="J88" s="17" t="inlineStr"/>
    </row>
    <row r="89">
      <c r="A89" s="4" t="inlineStr">
        <is>
          <t>G-20</t>
        </is>
      </c>
      <c r="B89" s="5" t="n">
        <v>181.22</v>
      </c>
      <c r="C89" s="6" t="n">
        <v>5265</v>
      </c>
      <c r="D89" s="7" t="n">
        <v>4423</v>
      </c>
      <c r="E89" s="7" t="n">
        <v>2714</v>
      </c>
      <c r="F89" s="7" t="n">
        <v>2399</v>
      </c>
      <c r="G89" s="8">
        <f>D89/1000</f>
        <v/>
      </c>
      <c r="H89" s="8">
        <f>E89/1000</f>
        <v/>
      </c>
      <c r="I89" s="9">
        <f>IFERROR(D89/F89,"")</f>
        <v/>
      </c>
      <c r="J89" s="10" t="inlineStr"/>
    </row>
    <row r="90">
      <c r="A90" s="11" t="inlineStr">
        <is>
          <t>G-13A</t>
        </is>
      </c>
      <c r="B90" s="12" t="n">
        <v>77.14</v>
      </c>
      <c r="C90" s="13" t="n">
        <v>4019</v>
      </c>
      <c r="D90" s="14" t="n">
        <v>4345</v>
      </c>
      <c r="E90" s="14" t="n">
        <v>2700</v>
      </c>
      <c r="F90" s="14" t="n">
        <v>2427</v>
      </c>
      <c r="G90" s="15">
        <f>D90/1000</f>
        <v/>
      </c>
      <c r="H90" s="15">
        <f>E90/1000</f>
        <v/>
      </c>
      <c r="I90" s="16">
        <f>IFERROR(D90/F90,"")</f>
        <v/>
      </c>
      <c r="J90" s="17" t="inlineStr"/>
    </row>
    <row r="91">
      <c r="A91" s="4" t="inlineStr">
        <is>
          <t>G-28</t>
        </is>
      </c>
      <c r="B91" s="5" t="n">
        <v>77.56999999999999</v>
      </c>
      <c r="C91" s="6" t="n">
        <v>4424</v>
      </c>
      <c r="D91" s="7" t="n">
        <v>4195</v>
      </c>
      <c r="E91" s="7" t="n">
        <v>2155</v>
      </c>
      <c r="F91" s="7" t="n">
        <v>1818</v>
      </c>
      <c r="G91" s="8">
        <f>D91/1000</f>
        <v/>
      </c>
      <c r="H91" s="8">
        <f>E91/1000</f>
        <v/>
      </c>
      <c r="I91" s="9">
        <f>IFERROR(D91/F91,"")</f>
        <v/>
      </c>
      <c r="J91" s="10" t="inlineStr"/>
    </row>
    <row r="92">
      <c r="A92" s="11" t="inlineStr">
        <is>
          <t>G-06A</t>
        </is>
      </c>
      <c r="B92" s="12" t="n">
        <v>58.11</v>
      </c>
      <c r="C92" s="13" t="n">
        <v>3300</v>
      </c>
      <c r="D92" s="14" t="n">
        <v>3902</v>
      </c>
      <c r="E92" s="14" t="n">
        <v>2262</v>
      </c>
      <c r="F92" s="14" t="n">
        <v>1625</v>
      </c>
      <c r="G92" s="15">
        <f>D92/1000</f>
        <v/>
      </c>
      <c r="H92" s="15">
        <f>E92/1000</f>
        <v/>
      </c>
      <c r="I92" s="16">
        <f>IFERROR(D92/F92,"")</f>
        <v/>
      </c>
      <c r="J92" s="17" t="inlineStr"/>
    </row>
    <row r="93">
      <c r="A93" s="18" t="inlineStr">
        <is>
          <t>G-07</t>
        </is>
      </c>
      <c r="B93" s="19" t="n">
        <v>216.06</v>
      </c>
      <c r="C93" s="20" t="n">
        <v>5853</v>
      </c>
      <c r="D93" s="21" t="n">
        <v>3802</v>
      </c>
      <c r="E93" s="21" t="n">
        <v>907</v>
      </c>
      <c r="F93" s="21" t="n">
        <v>814</v>
      </c>
      <c r="G93" s="22">
        <f>D93/1000</f>
        <v/>
      </c>
      <c r="H93" s="22">
        <f>E93/1000</f>
        <v/>
      </c>
      <c r="I93" s="23">
        <f>IFERROR(D93/F93,"")</f>
        <v/>
      </c>
      <c r="J93" s="25" t="inlineStr"/>
    </row>
    <row r="94">
      <c r="A94" s="18" t="inlineStr">
        <is>
          <t>G-29</t>
        </is>
      </c>
      <c r="B94" s="19" t="n">
        <v>116.19</v>
      </c>
      <c r="C94" s="20" t="n">
        <v>5494</v>
      </c>
      <c r="D94" s="21" t="n">
        <v>3749</v>
      </c>
      <c r="E94" s="21" t="n">
        <v>1155</v>
      </c>
      <c r="F94" s="21" t="n">
        <v>859</v>
      </c>
      <c r="G94" s="22">
        <f>D94/1000</f>
        <v/>
      </c>
      <c r="H94" s="22">
        <f>E94/1000</f>
        <v/>
      </c>
      <c r="I94" s="23">
        <f>IFERROR(D94/F94,"")</f>
        <v/>
      </c>
      <c r="J94" s="25" t="inlineStr"/>
    </row>
    <row r="95">
      <c r="A95" s="4" t="inlineStr">
        <is>
          <t>G-08A</t>
        </is>
      </c>
      <c r="B95" s="5" t="n">
        <v>40.79</v>
      </c>
      <c r="C95" s="6" t="n">
        <v>2958</v>
      </c>
      <c r="D95" s="7" t="n">
        <v>3646</v>
      </c>
      <c r="E95" s="7" t="n">
        <v>2377</v>
      </c>
      <c r="F95" s="7" t="n">
        <v>1951</v>
      </c>
      <c r="G95" s="8">
        <f>D95/1000</f>
        <v/>
      </c>
      <c r="H95" s="8">
        <f>E95/1000</f>
        <v/>
      </c>
      <c r="I95" s="9">
        <f>IFERROR(D95/F95,"")</f>
        <v/>
      </c>
      <c r="J95" s="10" t="inlineStr"/>
    </row>
    <row r="96">
      <c r="A96" s="11" t="inlineStr">
        <is>
          <t>R-12</t>
        </is>
      </c>
      <c r="B96" s="12" t="n">
        <v>16.99</v>
      </c>
      <c r="C96" s="13" t="n">
        <v>2254</v>
      </c>
      <c r="D96" s="14" t="n">
        <v>3452</v>
      </c>
      <c r="E96" s="14" t="n">
        <v>2331</v>
      </c>
      <c r="F96" s="14" t="n">
        <v>1819</v>
      </c>
      <c r="G96" s="15">
        <f>D96/1000</f>
        <v/>
      </c>
      <c r="H96" s="15">
        <f>E96/1000</f>
        <v/>
      </c>
      <c r="I96" s="16">
        <f>IFERROR(D96/F96,"")</f>
        <v/>
      </c>
      <c r="J96" s="17" t="inlineStr"/>
    </row>
    <row r="97">
      <c r="A97" s="4" t="inlineStr">
        <is>
          <t>G-14A</t>
        </is>
      </c>
      <c r="B97" s="5" t="n">
        <v>69.48999999999999</v>
      </c>
      <c r="C97" s="6" t="n">
        <v>3396</v>
      </c>
      <c r="D97" s="7" t="n">
        <v>3327</v>
      </c>
      <c r="E97" s="7" t="n">
        <v>1682</v>
      </c>
      <c r="F97" s="7" t="n">
        <v>1412</v>
      </c>
      <c r="G97" s="8">
        <f>D97/1000</f>
        <v/>
      </c>
      <c r="H97" s="8">
        <f>E97/1000</f>
        <v/>
      </c>
      <c r="I97" s="9">
        <f>IFERROR(D97/F97,"")</f>
        <v/>
      </c>
      <c r="J97" s="10" t="inlineStr"/>
    </row>
    <row r="98">
      <c r="A98" s="11" t="inlineStr">
        <is>
          <t>G-08B</t>
        </is>
      </c>
      <c r="B98" s="12" t="n">
        <v>47.16</v>
      </c>
      <c r="C98" s="13" t="n">
        <v>3144</v>
      </c>
      <c r="D98" s="14" t="n">
        <v>3320</v>
      </c>
      <c r="E98" s="14" t="n">
        <v>1967</v>
      </c>
      <c r="F98" s="14" t="n">
        <v>1296</v>
      </c>
      <c r="G98" s="15">
        <f>D98/1000</f>
        <v/>
      </c>
      <c r="H98" s="15">
        <f>E98/1000</f>
        <v/>
      </c>
      <c r="I98" s="16">
        <f>IFERROR(D98/F98,"")</f>
        <v/>
      </c>
      <c r="J98" s="17" t="inlineStr"/>
    </row>
    <row r="99">
      <c r="A99" s="4" t="inlineStr">
        <is>
          <t>G-14B</t>
        </is>
      </c>
      <c r="B99" s="5" t="n">
        <v>81.70999999999999</v>
      </c>
      <c r="C99" s="6" t="n">
        <v>3644</v>
      </c>
      <c r="D99" s="7" t="n">
        <v>3170</v>
      </c>
      <c r="E99" s="7" t="n">
        <v>1656</v>
      </c>
      <c r="F99" s="7" t="n">
        <v>1405</v>
      </c>
      <c r="G99" s="8">
        <f>D99/1000</f>
        <v/>
      </c>
      <c r="H99" s="8">
        <f>E99/1000</f>
        <v/>
      </c>
      <c r="I99" s="9">
        <f>IFERROR(D99/F99,"")</f>
        <v/>
      </c>
      <c r="J99" s="10" t="inlineStr"/>
    </row>
    <row r="100">
      <c r="A100" s="11" t="inlineStr">
        <is>
          <t>G-21</t>
        </is>
      </c>
      <c r="B100" s="12" t="n">
        <v>101.37</v>
      </c>
      <c r="C100" s="13" t="n">
        <v>4345</v>
      </c>
      <c r="D100" s="14" t="n">
        <v>3092</v>
      </c>
      <c r="E100" s="14" t="n">
        <v>1346</v>
      </c>
      <c r="F100" s="14" t="n">
        <v>1064</v>
      </c>
      <c r="G100" s="15">
        <f>D100/1000</f>
        <v/>
      </c>
      <c r="H100" s="15">
        <f>E100/1000</f>
        <v/>
      </c>
      <c r="I100" s="16">
        <f>IFERROR(D100/F100,"")</f>
        <v/>
      </c>
      <c r="J100" s="17" t="inlineStr"/>
    </row>
    <row r="101">
      <c r="A101" s="4" t="inlineStr">
        <is>
          <t>R-20</t>
        </is>
      </c>
      <c r="B101" s="5" t="n">
        <v>32.34</v>
      </c>
      <c r="C101" s="6" t="n">
        <v>2321</v>
      </c>
      <c r="D101" s="7" t="n">
        <v>3039</v>
      </c>
      <c r="E101" s="7" t="n">
        <v>1888</v>
      </c>
      <c r="F101" s="7" t="n">
        <v>1812</v>
      </c>
      <c r="G101" s="8">
        <f>D101/1000</f>
        <v/>
      </c>
      <c r="H101" s="8">
        <f>E101/1000</f>
        <v/>
      </c>
      <c r="I101" s="9">
        <f>IFERROR(D101/F101,"")</f>
        <v/>
      </c>
      <c r="J101" s="10" t="inlineStr"/>
    </row>
    <row r="102">
      <c r="A102" s="18" t="inlineStr">
        <is>
          <t>PAST</t>
        </is>
      </c>
      <c r="B102" s="19" t="n">
        <v>51.47</v>
      </c>
      <c r="C102" s="20" t="n">
        <v>3236</v>
      </c>
      <c r="D102" s="21" t="n">
        <v>2654</v>
      </c>
      <c r="E102" s="21" t="n">
        <v>1050</v>
      </c>
      <c r="F102" s="21" t="n">
        <v>648</v>
      </c>
      <c r="G102" s="22">
        <f>D102/1000</f>
        <v/>
      </c>
      <c r="H102" s="22">
        <f>E102/1000</f>
        <v/>
      </c>
      <c r="I102" s="23">
        <f>IFERROR(D102/F102,"")</f>
        <v/>
      </c>
      <c r="J102" s="25" t="inlineStr"/>
    </row>
    <row r="103">
      <c r="A103" s="4" t="inlineStr">
        <is>
          <t>G-08</t>
        </is>
      </c>
      <c r="B103" s="5" t="n">
        <v>41.91</v>
      </c>
      <c r="C103" s="6" t="n">
        <v>3348</v>
      </c>
      <c r="D103" s="7" t="n">
        <v>2585</v>
      </c>
      <c r="E103" s="7" t="n">
        <v>1078</v>
      </c>
      <c r="F103" s="7" t="n">
        <v>1009</v>
      </c>
      <c r="G103" s="8">
        <f>D103/1000</f>
        <v/>
      </c>
      <c r="H103" s="8">
        <f>E103/1000</f>
        <v/>
      </c>
      <c r="I103" s="9">
        <f>IFERROR(D103/F103,"")</f>
        <v/>
      </c>
      <c r="J103" s="10" t="inlineStr"/>
    </row>
    <row r="104">
      <c r="A104" s="18" t="inlineStr">
        <is>
          <t>G-15</t>
        </is>
      </c>
      <c r="B104" s="19" t="n">
        <v>115.98</v>
      </c>
      <c r="C104" s="20" t="n">
        <v>4428</v>
      </c>
      <c r="D104" s="21" t="n">
        <v>2298</v>
      </c>
      <c r="E104" s="21" t="n">
        <v>146</v>
      </c>
      <c r="F104" s="21" t="n">
        <v>146</v>
      </c>
      <c r="G104" s="22">
        <f>D104/1000</f>
        <v/>
      </c>
      <c r="H104" s="22">
        <f>E104/1000</f>
        <v/>
      </c>
      <c r="I104" s="23">
        <f>IFERROR(D104/F104,"")</f>
        <v/>
      </c>
      <c r="J104" s="25" t="inlineStr"/>
    </row>
    <row r="105">
      <c r="A105" s="18" t="inlineStr">
        <is>
          <t>G-06B</t>
        </is>
      </c>
      <c r="B105" s="19" t="n">
        <v>53.79</v>
      </c>
      <c r="C105" s="20" t="n">
        <v>3036</v>
      </c>
      <c r="D105" s="21" t="n">
        <v>2293</v>
      </c>
      <c r="E105" s="21" t="n">
        <v>1061</v>
      </c>
      <c r="F105" s="21" t="n">
        <v>607</v>
      </c>
      <c r="G105" s="22">
        <f>D105/1000</f>
        <v/>
      </c>
      <c r="H105" s="22">
        <f>E105/1000</f>
        <v/>
      </c>
      <c r="I105" s="23">
        <f>IFERROR(D105/F105,"")</f>
        <v/>
      </c>
      <c r="J105" s="25" t="inlineStr"/>
    </row>
    <row r="106">
      <c r="A106" s="18" t="inlineStr">
        <is>
          <t>G-22</t>
        </is>
      </c>
      <c r="B106" s="19" t="n">
        <v>46.71</v>
      </c>
      <c r="C106" s="20" t="n">
        <v>3528</v>
      </c>
      <c r="D106" s="21" t="n">
        <v>2127</v>
      </c>
      <c r="E106" s="21" t="n">
        <v>428</v>
      </c>
      <c r="F106" s="21" t="n">
        <v>363</v>
      </c>
      <c r="G106" s="22">
        <f>D106/1000</f>
        <v/>
      </c>
      <c r="H106" s="22">
        <f>E106/1000</f>
        <v/>
      </c>
      <c r="I106" s="23">
        <f>IFERROR(D106/F106,"")</f>
        <v/>
      </c>
      <c r="J106" s="25" t="inlineStr"/>
    </row>
    <row r="107">
      <c r="A107" s="18" t="inlineStr">
        <is>
          <t>G-16</t>
        </is>
      </c>
      <c r="B107" s="19" t="n">
        <v>58.91</v>
      </c>
      <c r="C107" s="20" t="n">
        <v>3665</v>
      </c>
      <c r="D107" s="21" t="n">
        <v>1888</v>
      </c>
      <c r="E107" s="21" t="n">
        <v>138</v>
      </c>
      <c r="F107" s="21" t="n">
        <v>137</v>
      </c>
      <c r="G107" s="22">
        <f>D107/1000</f>
        <v/>
      </c>
      <c r="H107" s="22">
        <f>E107/1000</f>
        <v/>
      </c>
      <c r="I107" s="23">
        <f>IFERROR(D107/F107,"")</f>
        <v/>
      </c>
      <c r="J107" s="25" t="inlineStr"/>
    </row>
    <row r="109">
      <c r="A109" s="26" t="inlineStr">
        <is>
          <t>TOTAL / MÁXIMO</t>
        </is>
      </c>
      <c r="B109" s="27">
        <f>SUM(B5:B107)</f>
        <v/>
      </c>
      <c r="D109" s="28">
        <f>MAX(IFERROR(D5:D107*1,0))</f>
        <v/>
      </c>
      <c r="G109" s="29">
        <f>IFERROR(MAX(G5:G107),"")</f>
        <v/>
      </c>
      <c r="I109" s="30">
        <f>IFERROR(AVERAGE(I5:I107),"")</f>
        <v/>
      </c>
    </row>
    <row r="110">
      <c r="A110" s="31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2" t="inlineStr">
        <is>
          <t>Como estes números foram calculados</t>
        </is>
      </c>
    </row>
    <row r="3" ht="30" customHeight="1">
      <c r="A3" s="33" t="inlineStr">
        <is>
          <t>Origem</t>
        </is>
      </c>
      <c r="B3" s="34" t="inlineStr">
        <is>
          <t>Ponto de sede do projeto do Google Earth (-15.308293, -54.597033).</t>
        </is>
      </c>
    </row>
    <row r="4" ht="30" customHeight="1">
      <c r="A4" s="33" t="inlineStr">
        <is>
          <t>Talhões</t>
        </is>
      </c>
      <c r="B4" s="34" t="inlineStr">
        <is>
          <t>103 polígonos da pasta FAZENDA GALHEIRO.</t>
        </is>
      </c>
    </row>
    <row r="5" ht="30" customHeight="1">
      <c r="A5" s="33" t="inlineStr">
        <is>
          <t>Malha de estradas</t>
        </is>
      </c>
      <c r="B5" s="34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3" t="inlineStr">
        <is>
          <t>Dist. máxima</t>
        </is>
      </c>
      <c r="B6" s="34" t="inlineStr">
        <is>
          <t>Menor caminho pela estrada, da sede até o ponto MAIS EXTREMO do perímetro do talhão. Não corta por dentro da lavoura.</t>
        </is>
      </c>
    </row>
    <row r="7" ht="30" customHeight="1">
      <c r="A7" s="33" t="inlineStr">
        <is>
          <t>Dist. mínima</t>
        </is>
      </c>
      <c r="B7" s="34" t="inlineStr">
        <is>
          <t>Menor caminho pela estrada, da sede até o ponto de acesso mais próximo.</t>
        </is>
      </c>
    </row>
    <row r="8" ht="30" customHeight="1">
      <c r="A8" s="33" t="inlineStr">
        <is>
          <t>Linha reta</t>
        </is>
      </c>
      <c r="B8" s="34" t="inlineStr">
        <is>
          <t>Distância em linha reta da sede até a borda do talhão. Só referência.</t>
        </is>
      </c>
    </row>
    <row r="9" ht="30" customHeight="1">
      <c r="A9" s="33" t="inlineStr">
        <is>
          <t>Fator</t>
        </is>
      </c>
      <c r="B9" s="34" t="inlineStr">
        <is>
          <t>Dist. máxima ÷ linha reta. Fator alto = rota indireta, ou estrada faltando na malha.</t>
        </is>
      </c>
    </row>
    <row r="10" ht="30" customHeight="1">
      <c r="A10" s="33" t="inlineStr">
        <is>
          <t>Coordenadas</t>
        </is>
      </c>
      <c r="B10" s="34" t="inlineStr">
        <is>
          <t>SIRGAS 2000 / UTM 21S (EPSG:31981) para distâncias e áreas.</t>
        </is>
      </c>
    </row>
    <row r="11" ht="30" customHeight="1">
      <c r="A11" s="33" t="inlineStr">
        <is>
          <t>Resolução</t>
        </is>
      </c>
      <c r="B11" s="34" t="inlineStr">
        <is>
          <t>Malha densificada a cada 25 m — é a precisão do 'ponto mais extremo'.</t>
        </is>
      </c>
    </row>
    <row r="12" ht="30" customHeight="1">
      <c r="A12" s="33" t="inlineStr">
        <is>
          <t>Validação</t>
        </is>
      </c>
      <c r="B12" s="34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2026-09-15T15:44:27Z</dcterms:created>
  <dcterms:modified xmlns:dcterms="http://purl.org/dc/terms/" xmlns:xsi="http://www.w3.org/2001/XMLSchema-instance" xsi:type="dcterms:W3CDTF">2026-09-15T15:44:27Z</dcterms:modified>
</cp:coreProperties>
</file>