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8B953B4B-D05D-4746-84C3-BDCAF00A3FD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1" i="1" l="1"/>
  <c r="G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<sst xmlns="http://schemas.openxmlformats.org/spreadsheetml/2006/main" count="70" uniqueCount="70">
  <si>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</si>
  <si>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</si>
  <si>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</si>
  <si>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</si>
  <si>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</si>
  <si>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</si>
  <si>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</si>
  <si>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</si>
  <si>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</si>
  <si>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</si>
  <si>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</si>
  <si>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</si>
  <si>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</si>
  <si>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</si>
  <si>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</si>
  <si>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</si>
  <si>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</si>
  <si>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</si>
  <si>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</si>
  <si>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</si>
  <si>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</si>
  <si>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</si>
  <si>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</si>
  <si>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</si>
  <si>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</si>
  <si>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</si>
  <si>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</si>
  <si>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</si>
  <si>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</si>
  <si>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</si>
  <si>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</si>
  <si>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</si>
  <si>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</si>
  <si>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</si>
  <si>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</si>
  <si>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</si>
  <si>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T-09B</t>
  </si>
  <si>
    <t>T-01A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</si>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</sst>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23838</v>
      </c>
      <c r="E5" s="7">
        <v>22737</v>
      </c>
      <c r="F5" s="7">
        <v>11475</v>
      </c>
      <c r="G5" s="8">
        <f t="shared" ref="G5:G39" si="0">D5/1000</f>
        <v>23.838000000000001</v>
      </c>
      <c r="H5" s="8">
        <f t="shared" ref="H5:H39" si="1">E5/1000</f>
        <v>22.736999999999998</v>
      </c>
      <c r="I5" s="9">
        <f t="shared" ref="I5:I39" si="2">IFERROR(D5/F5,"")</f>
        <v>2.0773856209150328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23624</v>
      </c>
      <c r="E6" s="14">
        <v>22003</v>
      </c>
      <c r="F6" s="14">
        <v>11982</v>
      </c>
      <c r="G6" s="15">
        <f t="shared" si="0"/>
        <v>23.623999999999999</v>
      </c>
      <c r="H6" s="15">
        <f t="shared" si="1"/>
        <v>22.003</v>
      </c>
      <c r="I6" s="16">
        <f t="shared" si="2"/>
        <v>1.9716241028208981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22053</v>
      </c>
      <c r="E7" s="7">
        <v>21041</v>
      </c>
      <c r="F7" s="7">
        <v>11159</v>
      </c>
      <c r="G7" s="8">
        <f t="shared" si="0"/>
        <v>22.053000000000001</v>
      </c>
      <c r="H7" s="8">
        <f t="shared" si="1"/>
        <v>21.041</v>
      </c>
      <c r="I7" s="9">
        <f t="shared" si="2"/>
        <v>1.9762523523613227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21384</v>
      </c>
      <c r="E8" s="14">
        <v>20791</v>
      </c>
      <c r="F8" s="14">
        <v>11323</v>
      </c>
      <c r="G8" s="15">
        <f t="shared" si="0"/>
        <v>21.384</v>
      </c>
      <c r="H8" s="15">
        <f t="shared" si="1"/>
        <v>20.791</v>
      </c>
      <c r="I8" s="16">
        <f t="shared" si="2"/>
        <v>1.8885454384880331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21081</v>
      </c>
      <c r="E9" s="7">
        <v>19730</v>
      </c>
      <c r="F9" s="7">
        <v>10871</v>
      </c>
      <c r="G9" s="8">
        <f t="shared" si="0"/>
        <v>21.081</v>
      </c>
      <c r="H9" s="8">
        <f t="shared" si="1"/>
        <v>19.73</v>
      </c>
      <c r="I9" s="9">
        <f t="shared" si="2"/>
        <v>1.9391960261245516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21040</v>
      </c>
      <c r="E10" s="14">
        <v>19723</v>
      </c>
      <c r="F10" s="14">
        <v>11726</v>
      </c>
      <c r="G10" s="15">
        <f t="shared" si="0"/>
        <v>21.04</v>
      </c>
      <c r="H10" s="15">
        <f t="shared" si="1"/>
        <v>19.722999999999999</v>
      </c>
      <c r="I10" s="16">
        <f t="shared" si="2"/>
        <v>1.7943032577178919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20822</v>
      </c>
      <c r="E11" s="7">
        <v>18998</v>
      </c>
      <c r="F11" s="7">
        <v>10886</v>
      </c>
      <c r="G11" s="8">
        <f t="shared" si="0"/>
        <v>20.821999999999999</v>
      </c>
      <c r="H11" s="8">
        <f t="shared" si="1"/>
        <v>18.998000000000001</v>
      </c>
      <c r="I11" s="9">
        <f t="shared" si="2"/>
        <v>1.9127319492926695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19148</v>
      </c>
      <c r="F12" s="14">
        <v>11107</v>
      </c>
      <c r="G12" s="15">
        <f t="shared" si="0"/>
        <v>20.599</v>
      </c>
      <c r="H12" s="15">
        <f t="shared" si="1"/>
        <v>19.148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19774</v>
      </c>
      <c r="E13" s="7">
        <v>17939</v>
      </c>
      <c r="F13" s="7">
        <v>10009</v>
      </c>
      <c r="G13" s="8">
        <f t="shared" si="0"/>
        <v>19.774000000000001</v>
      </c>
      <c r="H13" s="8">
        <f t="shared" si="1"/>
        <v>17.939</v>
      </c>
      <c r="I13" s="9">
        <f t="shared" si="2"/>
        <v>1.9756219402537716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19231</v>
      </c>
      <c r="E14" s="14">
        <v>17330</v>
      </c>
      <c r="F14" s="14">
        <v>9384</v>
      </c>
      <c r="G14" s="15">
        <f t="shared" si="0"/>
        <v>19.231000000000002</v>
      </c>
      <c r="H14" s="15">
        <f t="shared" si="1"/>
        <v>17.329999999999998</v>
      </c>
      <c r="I14" s="16">
        <f t="shared" si="2"/>
        <v>2.0493393009377665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16883</v>
      </c>
      <c r="E15" s="7">
        <v>15960</v>
      </c>
      <c r="F15" s="7">
        <v>8307</v>
      </c>
      <c r="G15" s="8">
        <f t="shared" si="0"/>
        <v>16.882999999999999</v>
      </c>
      <c r="H15" s="8">
        <f t="shared" si="1"/>
        <v>15.96</v>
      </c>
      <c r="I15" s="9">
        <f t="shared" si="2"/>
        <v>2.0323823281569759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16883</v>
      </c>
      <c r="E16" s="14">
        <v>14420</v>
      </c>
      <c r="F16" s="14">
        <v>7221</v>
      </c>
      <c r="G16" s="15">
        <f t="shared" si="0"/>
        <v>16.882999999999999</v>
      </c>
      <c r="H16" s="15">
        <f t="shared" si="1"/>
        <v>14.42</v>
      </c>
      <c r="I16" s="16">
        <f t="shared" si="2"/>
        <v>2.3380418224622628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16878</v>
      </c>
      <c r="E17" s="7">
        <v>15986</v>
      </c>
      <c r="F17" s="7">
        <v>8248</v>
      </c>
      <c r="G17" s="8">
        <f t="shared" si="0"/>
        <v>16.878</v>
      </c>
      <c r="H17" s="8">
        <f t="shared" si="1"/>
        <v>15.986000000000001</v>
      </c>
      <c r="I17" s="9">
        <f t="shared" si="2"/>
        <v>2.04631425800194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16878</v>
      </c>
      <c r="E18" s="14">
        <v>15986</v>
      </c>
      <c r="F18" s="14">
        <v>8256</v>
      </c>
      <c r="G18" s="15">
        <f t="shared" si="0"/>
        <v>16.878</v>
      </c>
      <c r="H18" s="15">
        <f t="shared" si="1"/>
        <v>15.986000000000001</v>
      </c>
      <c r="I18" s="16">
        <f t="shared" si="2"/>
        <v>2.0443313953488373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16084</v>
      </c>
      <c r="E19" s="7">
        <v>15612</v>
      </c>
      <c r="F19" s="7">
        <v>9205</v>
      </c>
      <c r="G19" s="8">
        <f t="shared" si="0"/>
        <v>16.084</v>
      </c>
      <c r="H19" s="8">
        <f t="shared" si="1"/>
        <v>15.612</v>
      </c>
      <c r="I19" s="9">
        <f t="shared" si="2"/>
        <v>1.7473112438891907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16084</v>
      </c>
      <c r="E20" s="14">
        <v>15583</v>
      </c>
      <c r="F20" s="14">
        <v>8461</v>
      </c>
      <c r="G20" s="15">
        <f t="shared" si="0"/>
        <v>16.084</v>
      </c>
      <c r="H20" s="15">
        <f t="shared" si="1"/>
        <v>15.583</v>
      </c>
      <c r="I20" s="16">
        <f t="shared" si="2"/>
        <v>1.9009573336485048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15665</v>
      </c>
      <c r="E21" s="7">
        <v>14658</v>
      </c>
      <c r="F21" s="7">
        <v>9056</v>
      </c>
      <c r="G21" s="8">
        <f t="shared" si="0"/>
        <v>15.664999999999999</v>
      </c>
      <c r="H21" s="8">
        <f t="shared" si="1"/>
        <v>14.657999999999999</v>
      </c>
      <c r="I21" s="9">
        <f t="shared" si="2"/>
        <v>1.7297924028268552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15612</v>
      </c>
      <c r="E22" s="14">
        <v>13948</v>
      </c>
      <c r="F22" s="14">
        <v>8442</v>
      </c>
      <c r="G22" s="15">
        <f t="shared" si="0"/>
        <v>15.612</v>
      </c>
      <c r="H22" s="15">
        <f t="shared" si="1"/>
        <v>13.948</v>
      </c>
      <c r="I22" s="16">
        <f t="shared" si="2"/>
        <v>1.8493248045486852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14832</v>
      </c>
      <c r="E23" s="7">
        <v>13269</v>
      </c>
      <c r="F23" s="7">
        <v>8501</v>
      </c>
      <c r="G23" s="8">
        <f t="shared" si="0"/>
        <v>14.832000000000001</v>
      </c>
      <c r="H23" s="8">
        <f t="shared" si="1"/>
        <v>13.269</v>
      </c>
      <c r="I23" s="9">
        <f t="shared" si="2"/>
        <v>1.7447359134219504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14832</v>
      </c>
      <c r="E24" s="14">
        <v>14242</v>
      </c>
      <c r="F24" s="14">
        <v>9352</v>
      </c>
      <c r="G24" s="15">
        <f t="shared" si="0"/>
        <v>14.832000000000001</v>
      </c>
      <c r="H24" s="15">
        <f t="shared" si="1"/>
        <v>14.242000000000001</v>
      </c>
      <c r="I24" s="16">
        <f t="shared" si="2"/>
        <v>1.5859709153122328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14802</v>
      </c>
      <c r="E25" s="7">
        <v>13208</v>
      </c>
      <c r="F25" s="7">
        <v>7712</v>
      </c>
      <c r="G25" s="8">
        <f t="shared" si="0"/>
        <v>14.802</v>
      </c>
      <c r="H25" s="8">
        <f t="shared" si="1"/>
        <v>13.208</v>
      </c>
      <c r="I25" s="9">
        <f t="shared" si="2"/>
        <v>1.9193464730290457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14802</v>
      </c>
      <c r="E26" s="14">
        <v>13208</v>
      </c>
      <c r="F26" s="14">
        <v>7712</v>
      </c>
      <c r="G26" s="15">
        <f t="shared" si="0"/>
        <v>14.802</v>
      </c>
      <c r="H26" s="15">
        <f t="shared" si="1"/>
        <v>13.208</v>
      </c>
      <c r="I26" s="16">
        <f t="shared" si="2"/>
        <v>1.9193464730290457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14802</v>
      </c>
      <c r="E27" s="7">
        <v>11292</v>
      </c>
      <c r="F27" s="7">
        <v>6957</v>
      </c>
      <c r="G27" s="8">
        <f t="shared" si="0"/>
        <v>14.802</v>
      </c>
      <c r="H27" s="8">
        <f t="shared" si="1"/>
        <v>11.292</v>
      </c>
      <c r="I27" s="9">
        <f t="shared" si="2"/>
        <v>2.1276412246658043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14747</v>
      </c>
      <c r="E28" s="14">
        <v>14349</v>
      </c>
      <c r="F28" s="14">
        <v>8842</v>
      </c>
      <c r="G28" s="15">
        <f t="shared" si="0"/>
        <v>14.747</v>
      </c>
      <c r="H28" s="15">
        <f t="shared" si="1"/>
        <v>14.349</v>
      </c>
      <c r="I28" s="16">
        <f t="shared" si="2"/>
        <v>1.6678353313729926</v>
      </c>
      <c r="J28" s="17"/>
    </row>
    <row r="29" spans="1:10" x14ac:dyDescent="0.3">
      <c r="A29" s="4" t="s">
        <v>36</v>
      </c>
      <c r="B29" s="5">
        <v>51.45</v>
      </c>
      <c r="C29" s="6">
        <v>3530</v>
      </c>
      <c r="D29" s="7">
        <v>14709</v>
      </c>
      <c r="E29" s="7">
        <v>14709</v>
      </c>
      <c r="F29" s="7">
        <v>9210</v>
      </c>
      <c r="G29" s="8">
        <f t="shared" si="0"/>
        <v>14.709</v>
      </c>
      <c r="H29" s="8">
        <f t="shared" si="1"/>
        <v>14.709</v>
      </c>
      <c r="I29" s="9">
        <f t="shared" si="2"/>
        <v>1.5970684039087948</v>
      </c>
      <c r="J29" s="10"/>
    </row>
    <row r="30" spans="1:10" x14ac:dyDescent="0.3">
      <c r="A30" s="11" t="s">
        <v>37</v>
      </c>
      <c r="B30" s="12">
        <v>109.74</v>
      </c>
      <c r="C30" s="13">
        <v>5134</v>
      </c>
      <c r="D30" s="14">
        <v>14708</v>
      </c>
      <c r="E30" s="14">
        <v>13783</v>
      </c>
      <c r="F30" s="14">
        <v>10367</v>
      </c>
      <c r="G30" s="15">
        <f t="shared" si="0"/>
        <v>14.708</v>
      </c>
      <c r="H30" s="15">
        <f t="shared" si="1"/>
        <v>13.782999999999999</v>
      </c>
      <c r="I30" s="16">
        <f t="shared" si="2"/>
        <v>1.4187325166393363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14601</v>
      </c>
      <c r="E31" s="7">
        <v>13332</v>
      </c>
      <c r="F31" s="7">
        <v>9732</v>
      </c>
      <c r="G31" s="8">
        <f t="shared" si="0"/>
        <v>14.601000000000001</v>
      </c>
      <c r="H31" s="8">
        <f t="shared" si="1"/>
        <v>13.332000000000001</v>
      </c>
      <c r="I31" s="9">
        <f t="shared" si="2"/>
        <v>1.500308261405672</v>
      </c>
      <c r="J31" s="10"/>
    </row>
    <row r="32" spans="1:10" x14ac:dyDescent="0.3">
      <c r="A32" s="11" t="s">
        <v>39</v>
      </c>
      <c r="B32" s="12">
        <v>113.04</v>
      </c>
      <c r="C32" s="13">
        <v>5041</v>
      </c>
      <c r="D32" s="14">
        <v>14601</v>
      </c>
      <c r="E32" s="14">
        <v>12353</v>
      </c>
      <c r="F32" s="14">
        <v>8850</v>
      </c>
      <c r="G32" s="15">
        <f t="shared" si="0"/>
        <v>14.601000000000001</v>
      </c>
      <c r="H32" s="15">
        <f t="shared" si="1"/>
        <v>12.353</v>
      </c>
      <c r="I32" s="16">
        <f t="shared" si="2"/>
        <v>1.6498305084745764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14572</v>
      </c>
      <c r="E33" s="7">
        <v>12412</v>
      </c>
      <c r="F33" s="7">
        <v>9477</v>
      </c>
      <c r="G33" s="8">
        <f t="shared" si="0"/>
        <v>14.571999999999999</v>
      </c>
      <c r="H33" s="8">
        <f t="shared" si="1"/>
        <v>12.412000000000001</v>
      </c>
      <c r="I33" s="9">
        <f t="shared" si="2"/>
        <v>1.5376173894692413</v>
      </c>
      <c r="J33" s="10"/>
    </row>
    <row r="34" spans="1:10" x14ac:dyDescent="0.3">
      <c r="A34" s="11" t="s">
        <v>41</v>
      </c>
      <c r="B34" s="12">
        <v>31.74</v>
      </c>
      <c r="C34" s="13">
        <v>2739</v>
      </c>
      <c r="D34" s="14">
        <v>14463</v>
      </c>
      <c r="E34" s="14">
        <v>13923</v>
      </c>
      <c r="F34" s="14">
        <v>7775</v>
      </c>
      <c r="G34" s="15">
        <f t="shared" si="0"/>
        <v>14.462999999999999</v>
      </c>
      <c r="H34" s="15">
        <f t="shared" si="1"/>
        <v>13.923</v>
      </c>
      <c r="I34" s="16">
        <f t="shared" si="2"/>
        <v>1.8601929260450161</v>
      </c>
      <c r="J34" s="17"/>
    </row>
    <row r="35" spans="1:10" x14ac:dyDescent="0.3">
      <c r="A35" s="4" t="s">
        <v>42</v>
      </c>
      <c r="B35" s="5">
        <v>14.18</v>
      </c>
      <c r="C35" s="6">
        <v>1756</v>
      </c>
      <c r="D35" s="7">
        <v>14134</v>
      </c>
      <c r="E35" s="7">
        <v>13399</v>
      </c>
      <c r="F35" s="7">
        <v>7912</v>
      </c>
      <c r="G35" s="8">
        <f t="shared" si="0"/>
        <v>14.134</v>
      </c>
      <c r="H35" s="8">
        <f t="shared" si="1"/>
        <v>13.398999999999999</v>
      </c>
      <c r="I35" s="9">
        <f t="shared" si="2"/>
        <v>1.7864004044489383</v>
      </c>
      <c r="J35" s="10"/>
    </row>
    <row r="36" spans="1:10" x14ac:dyDescent="0.3">
      <c r="A36" s="11" t="s">
        <v>43</v>
      </c>
      <c r="B36" s="12">
        <v>100.42</v>
      </c>
      <c r="C36" s="13">
        <v>5093</v>
      </c>
      <c r="D36" s="14">
        <v>13645</v>
      </c>
      <c r="E36" s="14">
        <v>12352</v>
      </c>
      <c r="F36" s="14">
        <v>7977</v>
      </c>
      <c r="G36" s="15">
        <f t="shared" si="0"/>
        <v>13.645</v>
      </c>
      <c r="H36" s="15">
        <f t="shared" si="1"/>
        <v>12.352</v>
      </c>
      <c r="I36" s="16">
        <f t="shared" si="2"/>
        <v>1.7105428105804188</v>
      </c>
      <c r="J36" s="17"/>
    </row>
    <row r="37" spans="1:10" x14ac:dyDescent="0.3">
      <c r="A37" s="4" t="s">
        <v>44</v>
      </c>
      <c r="B37" s="5">
        <v>51.93</v>
      </c>
      <c r="C37" s="6">
        <v>3411</v>
      </c>
      <c r="D37" s="7">
        <v>13645</v>
      </c>
      <c r="E37" s="7">
        <v>12323</v>
      </c>
      <c r="F37" s="7">
        <v>7991</v>
      </c>
      <c r="G37" s="8">
        <f t="shared" si="0"/>
        <v>13.645</v>
      </c>
      <c r="H37" s="8">
        <f t="shared" si="1"/>
        <v>12.323</v>
      </c>
      <c r="I37" s="9">
        <f t="shared" si="2"/>
        <v>1.7075459892378926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12696</v>
      </c>
      <c r="E38" s="14">
        <v>10412</v>
      </c>
      <c r="F38" s="14">
        <v>7561</v>
      </c>
      <c r="G38" s="15">
        <f t="shared" si="0"/>
        <v>12.696</v>
      </c>
      <c r="H38" s="15">
        <f t="shared" si="1"/>
        <v>10.412000000000001</v>
      </c>
      <c r="I38" s="16">
        <f t="shared" si="2"/>
        <v>1.6791429705065468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11425</v>
      </c>
      <c r="E39" s="7">
        <v>10040</v>
      </c>
      <c r="F39" s="7">
        <v>7077</v>
      </c>
      <c r="G39" s="8">
        <f t="shared" si="0"/>
        <v>11.425000000000001</v>
      </c>
      <c r="H39" s="8">
        <f t="shared" si="1"/>
        <v>10.039999999999999</v>
      </c>
      <c r="I39" s="9">
        <f t="shared" si="2"/>
        <v>1.6143846262540624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23838</v>
      </c>
      <c r="G41" s="21">
        <f>IFERROR(MAX(G5:G39),"")</f>
        <v>23.838000000000001</v>
      </c>
      <c r="I41" s="22">
        <f>IFERROR(AVERAGE(I5:I39),"")</f>
        <v>1.8329912833197421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2026-09-21T19:49:49Z</dcterms:created>
  <dcterms:modified xsi:type="dcterms:W3CDTF">2026-09-21T19:50:06Z</dcterms:modified>
</cp:coreProperties>
</file>