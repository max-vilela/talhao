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76ED30C4-DCCE-4B1A-AFD5-C9F75276A5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B76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76" i="1" l="1"/>
  <c r="I76" i="1"/>
</calcChain>
</file>

<file path=xl/sharedStrings.xml><?xml version="1.0" encoding="utf-8"?>
<sst xmlns="http://schemas.openxmlformats.org/spreadsheetml/2006/main" count="135" uniqueCount="108">
  <si>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</si>
  <si>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</si>
  <si>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</si>
  <si>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</si>
  <si>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</si>
  <si>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</si>
  <si>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</si>
  <si>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</si>
  <si>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</si>
  <si>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</si>
  <si>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</si>
  <si>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</si>
  <si>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T-41A</t>
  </si>
  <si>
    <t>T-39</t>
  </si>
  <si>
    <t>T-39D</t>
  </si>
  <si>
    <t>T-39A</t>
  </si>
  <si>
    <t>T-40A</t>
  </si>
  <si>
    <t>T-40B</t>
  </si>
  <si>
    <t>T-39C</t>
  </si>
  <si>
    <t>T-37A</t>
  </si>
  <si>
    <t>T-37B</t>
  </si>
  <si>
    <t>T-35</t>
  </si>
  <si>
    <t>T-38C</t>
  </si>
  <si>
    <t>T-37</t>
  </si>
  <si>
    <t>T-39B</t>
  </si>
  <si>
    <t>T-36A</t>
  </si>
  <si>
    <t>T-41B</t>
  </si>
  <si>
    <t>T-36</t>
  </si>
  <si>
    <t>T-38A</t>
  </si>
  <si>
    <t>T-38B</t>
  </si>
  <si>
    <t>T-36B</t>
  </si>
  <si>
    <t>T-34</t>
  </si>
  <si>
    <t>T-36C</t>
  </si>
  <si>
    <t>T-33</t>
  </si>
  <si>
    <t>T-33A</t>
  </si>
  <si>
    <t>T-33C</t>
  </si>
  <si>
    <t>T-33F</t>
  </si>
  <si>
    <t>T-33B</t>
  </si>
  <si>
    <t>T-33E</t>
  </si>
  <si>
    <t>T-33D</t>
  </si>
  <si>
    <t>T-32A</t>
  </si>
  <si>
    <t>T-32B</t>
  </si>
  <si>
    <t>T-32C</t>
  </si>
  <si>
    <t>T-29B</t>
  </si>
  <si>
    <t>T-29D</t>
  </si>
  <si>
    <t>T-30A</t>
  </si>
  <si>
    <t>T-30C</t>
  </si>
  <si>
    <t>T-32</t>
  </si>
  <si>
    <t>T-30D</t>
  </si>
  <si>
    <t>T-29A</t>
  </si>
  <si>
    <t>T-29C</t>
  </si>
  <si>
    <t>T-30B</t>
  </si>
  <si>
    <t>T-26B</t>
  </si>
  <si>
    <t>T-26C</t>
  </si>
  <si>
    <t>T-27B</t>
  </si>
  <si>
    <t>T-26A</t>
  </si>
  <si>
    <t>T-27C</t>
  </si>
  <si>
    <t>T-27D</t>
  </si>
  <si>
    <t>T-27A</t>
  </si>
  <si>
    <t>T-17</t>
  </si>
  <si>
    <t>T-05C</t>
  </si>
  <si>
    <t>T-09</t>
  </si>
  <si>
    <t>T-10B</t>
  </si>
  <si>
    <t>T-05B</t>
  </si>
  <si>
    <t>T-22</t>
  </si>
  <si>
    <t>T-05A</t>
  </si>
  <si>
    <t>T-21</t>
  </si>
  <si>
    <t>T-04</t>
  </si>
  <si>
    <t>T-07</t>
  </si>
  <si>
    <t>T-08</t>
  </si>
  <si>
    <t>T-16</t>
  </si>
  <si>
    <t>T-03</t>
  </si>
  <si>
    <t>T-06A</t>
  </si>
  <si>
    <t>T-07B</t>
  </si>
  <si>
    <t>T-02</t>
  </si>
  <si>
    <t>T-01</t>
  </si>
  <si>
    <t>T-10</t>
  </si>
  <si>
    <t>T-05D</t>
  </si>
  <si>
    <t>sem acesso</t>
  </si>
  <si>
    <t>—</t>
  </si>
  <si>
    <t>sem estrada até este talhão</t>
  </si>
  <si>
    <t>T-06B</t>
  </si>
  <si>
    <t>T-06C</t>
  </si>
  <si>
    <t>T-40C</t>
  </si>
  <si>
    <t>T-CON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</si>
  <si>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</si>
  <si>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</si>
  <si>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</si>
  <si>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</si>
  <si>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</si>
  <si>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</si>
  <si>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70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</si>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</sst>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150.53</v>
      </c>
      <c r="C5" s="6">
        <v>4897</v>
      </c>
      <c r="D5" s="7">
        <v>27435</v>
      </c>
      <c r="E5" s="7">
        <v>23541</v>
      </c>
      <c r="F5" s="7">
        <v>12769</v>
      </c>
      <c r="G5" s="8">
        <f t="shared" ref="G5:G36" si="0">D5/1000</f>
        <v>27.434999999999999</v>
      </c>
      <c r="H5" s="8">
        <f t="shared" ref="H5:H36" si="1">E5/1000</f>
        <v>23.541</v>
      </c>
      <c r="I5" s="9">
        <f t="shared" ref="I5:I36" si="2">IFERROR(D5/F5,"")</f>
        <v>2.1485629258360093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26407</v>
      </c>
      <c r="E6" s="14">
        <v>26038</v>
      </c>
      <c r="F6" s="14">
        <v>14390</v>
      </c>
      <c r="G6" s="15">
        <f t="shared" si="0"/>
        <v>26.407</v>
      </c>
      <c r="H6" s="15">
        <f t="shared" si="1"/>
        <v>26.038</v>
      </c>
      <c r="I6" s="16">
        <f t="shared" si="2"/>
        <v>1.8350938151494094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26407</v>
      </c>
      <c r="E7" s="7">
        <v>25636</v>
      </c>
      <c r="F7" s="7">
        <v>14710</v>
      </c>
      <c r="G7" s="8">
        <f t="shared" si="0"/>
        <v>26.407</v>
      </c>
      <c r="H7" s="8">
        <f t="shared" si="1"/>
        <v>25.635999999999999</v>
      </c>
      <c r="I7" s="9">
        <f t="shared" si="2"/>
        <v>1.7951733514615908</v>
      </c>
      <c r="J7" s="10"/>
    </row>
    <row r="8" spans="1:10" x14ac:dyDescent="0.3">
      <c r="A8" s="11" t="s">
        <v>15</v>
      </c>
      <c r="B8" s="12">
        <v>34.07</v>
      </c>
      <c r="C8" s="13">
        <v>2376</v>
      </c>
      <c r="D8" s="14">
        <v>26192</v>
      </c>
      <c r="E8" s="14">
        <v>24848</v>
      </c>
      <c r="F8" s="14">
        <v>15101</v>
      </c>
      <c r="G8" s="15">
        <f t="shared" si="0"/>
        <v>26.192</v>
      </c>
      <c r="H8" s="15">
        <f t="shared" si="1"/>
        <v>24.847999999999999</v>
      </c>
      <c r="I8" s="16">
        <f t="shared" si="2"/>
        <v>1.7344546718760347</v>
      </c>
      <c r="J8" s="17"/>
    </row>
    <row r="9" spans="1:10" x14ac:dyDescent="0.3">
      <c r="A9" s="4" t="s">
        <v>16</v>
      </c>
      <c r="B9" s="5">
        <v>85.18</v>
      </c>
      <c r="C9" s="6">
        <v>3658</v>
      </c>
      <c r="D9" s="7">
        <v>26016</v>
      </c>
      <c r="E9" s="7">
        <v>25022</v>
      </c>
      <c r="F9" s="7">
        <v>13732</v>
      </c>
      <c r="G9" s="8">
        <f t="shared" si="0"/>
        <v>26.015999999999998</v>
      </c>
      <c r="H9" s="8">
        <f t="shared" si="1"/>
        <v>25.021999999999998</v>
      </c>
      <c r="I9" s="9">
        <f t="shared" si="2"/>
        <v>1.8945528692106031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25840</v>
      </c>
      <c r="E10" s="14">
        <v>25661</v>
      </c>
      <c r="F10" s="14">
        <v>14034</v>
      </c>
      <c r="G10" s="15">
        <f t="shared" si="0"/>
        <v>25.84</v>
      </c>
      <c r="H10" s="15">
        <f t="shared" si="1"/>
        <v>25.661000000000001</v>
      </c>
      <c r="I10" s="16">
        <f t="shared" si="2"/>
        <v>1.8412426963089639</v>
      </c>
      <c r="J10" s="17"/>
    </row>
    <row r="11" spans="1:10" x14ac:dyDescent="0.3">
      <c r="A11" s="4" t="s">
        <v>18</v>
      </c>
      <c r="B11" s="5">
        <v>20.03</v>
      </c>
      <c r="C11" s="6">
        <v>1858</v>
      </c>
      <c r="D11" s="7">
        <v>25687</v>
      </c>
      <c r="E11" s="7">
        <v>25174</v>
      </c>
      <c r="F11" s="7">
        <v>14553</v>
      </c>
      <c r="G11" s="8">
        <f t="shared" si="0"/>
        <v>25.687000000000001</v>
      </c>
      <c r="H11" s="8">
        <f t="shared" si="1"/>
        <v>25.173999999999999</v>
      </c>
      <c r="I11" s="9">
        <f t="shared" si="2"/>
        <v>1.7650656222084793</v>
      </c>
      <c r="J11" s="10"/>
    </row>
    <row r="12" spans="1:10" x14ac:dyDescent="0.3">
      <c r="A12" s="11" t="s">
        <v>19</v>
      </c>
      <c r="B12" s="12">
        <v>85.99</v>
      </c>
      <c r="C12" s="13">
        <v>4182</v>
      </c>
      <c r="D12" s="14">
        <v>25525</v>
      </c>
      <c r="E12" s="14">
        <v>25269</v>
      </c>
      <c r="F12" s="14">
        <v>15781</v>
      </c>
      <c r="G12" s="15">
        <f t="shared" si="0"/>
        <v>25.524999999999999</v>
      </c>
      <c r="H12" s="15">
        <f t="shared" si="1"/>
        <v>25.268999999999998</v>
      </c>
      <c r="I12" s="16">
        <f t="shared" si="2"/>
        <v>1.6174513655661873</v>
      </c>
      <c r="J12" s="17"/>
    </row>
    <row r="13" spans="1:10" x14ac:dyDescent="0.3">
      <c r="A13" s="4" t="s">
        <v>20</v>
      </c>
      <c r="B13" s="5">
        <v>108.01</v>
      </c>
      <c r="C13" s="6">
        <v>4183</v>
      </c>
      <c r="D13" s="7">
        <v>25298</v>
      </c>
      <c r="E13" s="7">
        <v>24081</v>
      </c>
      <c r="F13" s="7">
        <v>15031</v>
      </c>
      <c r="G13" s="8">
        <f t="shared" si="0"/>
        <v>25.297999999999998</v>
      </c>
      <c r="H13" s="8">
        <f t="shared" si="1"/>
        <v>24.081</v>
      </c>
      <c r="I13" s="9">
        <f t="shared" si="2"/>
        <v>1.683055019626106</v>
      </c>
      <c r="J13" s="10"/>
    </row>
    <row r="14" spans="1:10" x14ac:dyDescent="0.3">
      <c r="A14" s="11" t="s">
        <v>21</v>
      </c>
      <c r="B14" s="12">
        <v>240.66</v>
      </c>
      <c r="C14" s="13">
        <v>6211</v>
      </c>
      <c r="D14" s="14">
        <v>25219</v>
      </c>
      <c r="E14" s="14">
        <v>22107</v>
      </c>
      <c r="F14" s="14">
        <v>16499</v>
      </c>
      <c r="G14" s="15">
        <f t="shared" si="0"/>
        <v>25.219000000000001</v>
      </c>
      <c r="H14" s="15">
        <f t="shared" si="1"/>
        <v>22.106999999999999</v>
      </c>
      <c r="I14" s="16">
        <f t="shared" si="2"/>
        <v>1.5285168798108977</v>
      </c>
      <c r="J14" s="17"/>
    </row>
    <row r="15" spans="1:10" x14ac:dyDescent="0.3">
      <c r="A15" s="4" t="s">
        <v>22</v>
      </c>
      <c r="B15" s="5">
        <v>27.75</v>
      </c>
      <c r="C15" s="6">
        <v>2368</v>
      </c>
      <c r="D15" s="7">
        <v>25149</v>
      </c>
      <c r="E15" s="7">
        <v>24335</v>
      </c>
      <c r="F15" s="7">
        <v>14263</v>
      </c>
      <c r="G15" s="8">
        <f t="shared" si="0"/>
        <v>25.149000000000001</v>
      </c>
      <c r="H15" s="8">
        <f t="shared" si="1"/>
        <v>24.335000000000001</v>
      </c>
      <c r="I15" s="9">
        <f t="shared" si="2"/>
        <v>1.7632335413307159</v>
      </c>
      <c r="J15" s="10"/>
    </row>
    <row r="16" spans="1:10" x14ac:dyDescent="0.3">
      <c r="A16" s="11" t="s">
        <v>23</v>
      </c>
      <c r="B16" s="12">
        <v>182.45</v>
      </c>
      <c r="C16" s="13">
        <v>5565</v>
      </c>
      <c r="D16" s="14">
        <v>24974</v>
      </c>
      <c r="E16" s="14">
        <v>23468</v>
      </c>
      <c r="F16" s="14">
        <v>15705</v>
      </c>
      <c r="G16" s="15">
        <f t="shared" si="0"/>
        <v>24.974</v>
      </c>
      <c r="H16" s="15">
        <f t="shared" si="1"/>
        <v>23.468</v>
      </c>
      <c r="I16" s="16">
        <f t="shared" si="2"/>
        <v>1.5901942056669851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24901</v>
      </c>
      <c r="E17" s="7">
        <v>24366</v>
      </c>
      <c r="F17" s="7">
        <v>14837</v>
      </c>
      <c r="G17" s="8">
        <f t="shared" si="0"/>
        <v>24.901</v>
      </c>
      <c r="H17" s="8">
        <f t="shared" si="1"/>
        <v>24.366</v>
      </c>
      <c r="I17" s="9">
        <f t="shared" si="2"/>
        <v>1.6783042394014962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24731</v>
      </c>
      <c r="E18" s="14">
        <v>23574</v>
      </c>
      <c r="F18" s="14">
        <v>14740</v>
      </c>
      <c r="G18" s="15">
        <f t="shared" si="0"/>
        <v>24.731000000000002</v>
      </c>
      <c r="H18" s="15">
        <f t="shared" si="1"/>
        <v>23.574000000000002</v>
      </c>
      <c r="I18" s="16">
        <f t="shared" si="2"/>
        <v>1.6778154681139756</v>
      </c>
      <c r="J18" s="17"/>
    </row>
    <row r="19" spans="1:10" x14ac:dyDescent="0.3">
      <c r="A19" s="4" t="s">
        <v>26</v>
      </c>
      <c r="B19" s="5">
        <v>38.03</v>
      </c>
      <c r="C19" s="6">
        <v>2973</v>
      </c>
      <c r="D19" s="7">
        <v>24672</v>
      </c>
      <c r="E19" s="7">
        <v>23734</v>
      </c>
      <c r="F19" s="7">
        <v>12971</v>
      </c>
      <c r="G19" s="8">
        <f t="shared" si="0"/>
        <v>24.672000000000001</v>
      </c>
      <c r="H19" s="8">
        <f t="shared" si="1"/>
        <v>23.734000000000002</v>
      </c>
      <c r="I19" s="9">
        <f t="shared" si="2"/>
        <v>1.9020892760774035</v>
      </c>
      <c r="J19" s="10"/>
    </row>
    <row r="20" spans="1:10" x14ac:dyDescent="0.3">
      <c r="A20" s="11" t="s">
        <v>27</v>
      </c>
      <c r="B20" s="12">
        <v>93.86</v>
      </c>
      <c r="C20" s="13">
        <v>4450</v>
      </c>
      <c r="D20" s="14">
        <v>24543</v>
      </c>
      <c r="E20" s="14">
        <v>21794</v>
      </c>
      <c r="F20" s="14">
        <v>14968</v>
      </c>
      <c r="G20" s="15">
        <f t="shared" si="0"/>
        <v>24.542999999999999</v>
      </c>
      <c r="H20" s="15">
        <f t="shared" si="1"/>
        <v>21.794</v>
      </c>
      <c r="I20" s="16">
        <f t="shared" si="2"/>
        <v>1.6396980224478888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24335</v>
      </c>
      <c r="E21" s="7">
        <v>22619</v>
      </c>
      <c r="F21" s="7">
        <v>13857</v>
      </c>
      <c r="G21" s="8">
        <f t="shared" si="0"/>
        <v>24.335000000000001</v>
      </c>
      <c r="H21" s="8">
        <f t="shared" si="1"/>
        <v>22.619</v>
      </c>
      <c r="I21" s="9">
        <f t="shared" si="2"/>
        <v>1.7561521252796422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24135</v>
      </c>
      <c r="E22" s="14">
        <v>23397</v>
      </c>
      <c r="F22" s="14">
        <v>14244</v>
      </c>
      <c r="G22" s="15">
        <f t="shared" si="0"/>
        <v>24.135000000000002</v>
      </c>
      <c r="H22" s="15">
        <f t="shared" si="1"/>
        <v>23.396999999999998</v>
      </c>
      <c r="I22" s="16">
        <f t="shared" si="2"/>
        <v>1.6943976411120472</v>
      </c>
      <c r="J22" s="17"/>
    </row>
    <row r="23" spans="1:10" x14ac:dyDescent="0.3">
      <c r="A23" s="4" t="s">
        <v>30</v>
      </c>
      <c r="B23" s="5">
        <v>39.71</v>
      </c>
      <c r="C23" s="6">
        <v>2648</v>
      </c>
      <c r="D23" s="7">
        <v>23624</v>
      </c>
      <c r="E23" s="7">
        <v>23016</v>
      </c>
      <c r="F23" s="7">
        <v>14442</v>
      </c>
      <c r="G23" s="8">
        <f t="shared" si="0"/>
        <v>23.623999999999999</v>
      </c>
      <c r="H23" s="8">
        <f t="shared" si="1"/>
        <v>23.015999999999998</v>
      </c>
      <c r="I23" s="9">
        <f t="shared" si="2"/>
        <v>1.6357845173798642</v>
      </c>
      <c r="J23" s="10"/>
    </row>
    <row r="24" spans="1:10" x14ac:dyDescent="0.3">
      <c r="A24" s="11" t="s">
        <v>31</v>
      </c>
      <c r="B24" s="12">
        <v>228.96</v>
      </c>
      <c r="C24" s="13">
        <v>6152</v>
      </c>
      <c r="D24" s="14">
        <v>23514</v>
      </c>
      <c r="E24" s="14">
        <v>20237</v>
      </c>
      <c r="F24" s="14">
        <v>15117</v>
      </c>
      <c r="G24" s="15">
        <f t="shared" si="0"/>
        <v>23.513999999999999</v>
      </c>
      <c r="H24" s="15">
        <f t="shared" si="1"/>
        <v>20.236999999999998</v>
      </c>
      <c r="I24" s="16">
        <f t="shared" si="2"/>
        <v>1.555467354633856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23067</v>
      </c>
      <c r="E25" s="7">
        <v>21668</v>
      </c>
      <c r="F25" s="7">
        <v>14233</v>
      </c>
      <c r="G25" s="8">
        <f t="shared" si="0"/>
        <v>23.067</v>
      </c>
      <c r="H25" s="8">
        <f t="shared" si="1"/>
        <v>21.667999999999999</v>
      </c>
      <c r="I25" s="9">
        <f t="shared" si="2"/>
        <v>1.6206702733085083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23040</v>
      </c>
      <c r="E26" s="14">
        <v>20154</v>
      </c>
      <c r="F26" s="14">
        <v>13729</v>
      </c>
      <c r="G26" s="15">
        <f t="shared" si="0"/>
        <v>23.04</v>
      </c>
      <c r="H26" s="15">
        <f t="shared" si="1"/>
        <v>20.154</v>
      </c>
      <c r="I26" s="16">
        <f t="shared" si="2"/>
        <v>1.6781994318595674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21924</v>
      </c>
      <c r="E27" s="7">
        <v>20654</v>
      </c>
      <c r="F27" s="7">
        <v>14141</v>
      </c>
      <c r="G27" s="8">
        <f t="shared" si="0"/>
        <v>21.923999999999999</v>
      </c>
      <c r="H27" s="8">
        <f t="shared" si="1"/>
        <v>20.654</v>
      </c>
      <c r="I27" s="9">
        <f t="shared" si="2"/>
        <v>1.5503854041439784</v>
      </c>
      <c r="J27" s="10"/>
    </row>
    <row r="28" spans="1:10" x14ac:dyDescent="0.3">
      <c r="A28" s="11" t="s">
        <v>35</v>
      </c>
      <c r="B28" s="12">
        <v>17.32</v>
      </c>
      <c r="C28" s="13">
        <v>1739</v>
      </c>
      <c r="D28" s="14">
        <v>20930</v>
      </c>
      <c r="E28" s="14">
        <v>20583</v>
      </c>
      <c r="F28" s="14">
        <v>13605</v>
      </c>
      <c r="G28" s="15">
        <f t="shared" si="0"/>
        <v>20.93</v>
      </c>
      <c r="H28" s="15">
        <f t="shared" si="1"/>
        <v>20.582999999999998</v>
      </c>
      <c r="I28" s="16">
        <f t="shared" si="2"/>
        <v>1.5384049981624404</v>
      </c>
      <c r="J28" s="17"/>
    </row>
    <row r="29" spans="1:10" x14ac:dyDescent="0.3">
      <c r="A29" s="4" t="s">
        <v>36</v>
      </c>
      <c r="B29" s="5">
        <v>83.54</v>
      </c>
      <c r="C29" s="6">
        <v>3934</v>
      </c>
      <c r="D29" s="7">
        <v>20930</v>
      </c>
      <c r="E29" s="7">
        <v>19687</v>
      </c>
      <c r="F29" s="7">
        <v>12932</v>
      </c>
      <c r="G29" s="8">
        <f t="shared" si="0"/>
        <v>20.93</v>
      </c>
      <c r="H29" s="8">
        <f t="shared" si="1"/>
        <v>19.687000000000001</v>
      </c>
      <c r="I29" s="9">
        <f t="shared" si="2"/>
        <v>1.6184658212186824</v>
      </c>
      <c r="J29" s="10"/>
    </row>
    <row r="30" spans="1:10" x14ac:dyDescent="0.3">
      <c r="A30" s="11" t="s">
        <v>37</v>
      </c>
      <c r="B30" s="12">
        <v>28.89</v>
      </c>
      <c r="C30" s="13">
        <v>2630</v>
      </c>
      <c r="D30" s="14">
        <v>20736</v>
      </c>
      <c r="E30" s="14">
        <v>20154</v>
      </c>
      <c r="F30" s="14">
        <v>13724</v>
      </c>
      <c r="G30" s="15">
        <f t="shared" si="0"/>
        <v>20.736000000000001</v>
      </c>
      <c r="H30" s="15">
        <f t="shared" si="1"/>
        <v>20.154</v>
      </c>
      <c r="I30" s="16">
        <f t="shared" si="2"/>
        <v>1.510929758088021</v>
      </c>
      <c r="J30" s="17"/>
    </row>
    <row r="31" spans="1:10" x14ac:dyDescent="0.3">
      <c r="A31" s="4" t="s">
        <v>38</v>
      </c>
      <c r="B31" s="5">
        <v>25.66</v>
      </c>
      <c r="C31" s="6">
        <v>2270</v>
      </c>
      <c r="D31" s="7">
        <v>20620</v>
      </c>
      <c r="E31" s="7">
        <v>19713</v>
      </c>
      <c r="F31" s="7">
        <v>13030</v>
      </c>
      <c r="G31" s="8">
        <f t="shared" si="0"/>
        <v>20.62</v>
      </c>
      <c r="H31" s="8">
        <f t="shared" si="1"/>
        <v>19.713000000000001</v>
      </c>
      <c r="I31" s="9">
        <f t="shared" si="2"/>
        <v>1.5825019186492708</v>
      </c>
      <c r="J31" s="10"/>
    </row>
    <row r="32" spans="1:10" x14ac:dyDescent="0.3">
      <c r="A32" s="11" t="s">
        <v>39</v>
      </c>
      <c r="B32" s="12">
        <v>20.329999999999998</v>
      </c>
      <c r="C32" s="13">
        <v>1825</v>
      </c>
      <c r="D32" s="14">
        <v>20237</v>
      </c>
      <c r="E32" s="14">
        <v>19999</v>
      </c>
      <c r="F32" s="14">
        <v>13381</v>
      </c>
      <c r="G32" s="15">
        <f t="shared" si="0"/>
        <v>20.236999999999998</v>
      </c>
      <c r="H32" s="15">
        <f t="shared" si="1"/>
        <v>19.998999999999999</v>
      </c>
      <c r="I32" s="16">
        <f t="shared" si="2"/>
        <v>1.5123682833868919</v>
      </c>
      <c r="J32" s="17"/>
    </row>
    <row r="33" spans="1:10" x14ac:dyDescent="0.3">
      <c r="A33" s="4" t="s">
        <v>40</v>
      </c>
      <c r="B33" s="5">
        <v>49.81</v>
      </c>
      <c r="C33" s="6">
        <v>3183</v>
      </c>
      <c r="D33" s="7">
        <v>20210</v>
      </c>
      <c r="E33" s="7">
        <v>18504</v>
      </c>
      <c r="F33" s="7">
        <v>12736</v>
      </c>
      <c r="G33" s="8">
        <f t="shared" si="0"/>
        <v>20.21</v>
      </c>
      <c r="H33" s="8">
        <f t="shared" si="1"/>
        <v>18.504000000000001</v>
      </c>
      <c r="I33" s="9">
        <f t="shared" si="2"/>
        <v>1.5868404522613064</v>
      </c>
      <c r="J33" s="10"/>
    </row>
    <row r="34" spans="1:10" x14ac:dyDescent="0.3">
      <c r="A34" s="11" t="s">
        <v>41</v>
      </c>
      <c r="B34" s="12">
        <v>56.22</v>
      </c>
      <c r="C34" s="13">
        <v>3219</v>
      </c>
      <c r="D34" s="14">
        <v>20061</v>
      </c>
      <c r="E34" s="14">
        <v>18953</v>
      </c>
      <c r="F34" s="14">
        <v>12386</v>
      </c>
      <c r="G34" s="15">
        <f t="shared" si="0"/>
        <v>20.061</v>
      </c>
      <c r="H34" s="15">
        <f t="shared" si="1"/>
        <v>18.952999999999999</v>
      </c>
      <c r="I34" s="16">
        <f t="shared" si="2"/>
        <v>1.6196512191183594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19862</v>
      </c>
      <c r="E35" s="7">
        <v>19497</v>
      </c>
      <c r="F35" s="7">
        <v>12059</v>
      </c>
      <c r="G35" s="8">
        <f t="shared" si="0"/>
        <v>19.861999999999998</v>
      </c>
      <c r="H35" s="8">
        <f t="shared" si="1"/>
        <v>19.497</v>
      </c>
      <c r="I35" s="9">
        <f t="shared" si="2"/>
        <v>1.6470685794842026</v>
      </c>
      <c r="J35" s="10"/>
    </row>
    <row r="36" spans="1:10" x14ac:dyDescent="0.3">
      <c r="A36" s="11" t="s">
        <v>43</v>
      </c>
      <c r="B36" s="12">
        <v>51.46</v>
      </c>
      <c r="C36" s="13">
        <v>3211</v>
      </c>
      <c r="D36" s="14">
        <v>19048</v>
      </c>
      <c r="E36" s="14">
        <v>18028</v>
      </c>
      <c r="F36" s="14">
        <v>10413</v>
      </c>
      <c r="G36" s="15">
        <f t="shared" si="0"/>
        <v>19.047999999999998</v>
      </c>
      <c r="H36" s="15">
        <f t="shared" si="1"/>
        <v>18.027999999999999</v>
      </c>
      <c r="I36" s="16">
        <f t="shared" si="2"/>
        <v>1.829251896667627</v>
      </c>
      <c r="J36" s="17"/>
    </row>
    <row r="37" spans="1:10" x14ac:dyDescent="0.3">
      <c r="A37" s="4" t="s">
        <v>44</v>
      </c>
      <c r="B37" s="5">
        <v>204.97</v>
      </c>
      <c r="C37" s="6">
        <v>6009</v>
      </c>
      <c r="D37" s="7">
        <v>19048</v>
      </c>
      <c r="E37" s="7">
        <v>16024</v>
      </c>
      <c r="F37" s="7">
        <v>9361</v>
      </c>
      <c r="G37" s="8">
        <f t="shared" ref="G37:G69" si="3">D37/1000</f>
        <v>19.047999999999998</v>
      </c>
      <c r="H37" s="8">
        <f t="shared" ref="H37:H69" si="4">E37/1000</f>
        <v>16.024000000000001</v>
      </c>
      <c r="I37" s="9">
        <f t="shared" ref="I37:I69" si="5">IFERROR(D37/F37,"")</f>
        <v>2.0348253391731652</v>
      </c>
      <c r="J37" s="10"/>
    </row>
    <row r="38" spans="1:10" x14ac:dyDescent="0.3">
      <c r="A38" s="11" t="s">
        <v>45</v>
      </c>
      <c r="B38" s="12">
        <v>36.369999999999997</v>
      </c>
      <c r="C38" s="13">
        <v>3031</v>
      </c>
      <c r="D38" s="14">
        <v>18804</v>
      </c>
      <c r="E38" s="14">
        <v>16952</v>
      </c>
      <c r="F38" s="14">
        <v>10293</v>
      </c>
      <c r="G38" s="15">
        <f t="shared" si="3"/>
        <v>18.803999999999998</v>
      </c>
      <c r="H38" s="15">
        <f t="shared" si="4"/>
        <v>16.952000000000002</v>
      </c>
      <c r="I38" s="16">
        <f t="shared" si="5"/>
        <v>1.8268726318857476</v>
      </c>
      <c r="J38" s="17"/>
    </row>
    <row r="39" spans="1:10" x14ac:dyDescent="0.3">
      <c r="A39" s="4" t="s">
        <v>46</v>
      </c>
      <c r="B39" s="5">
        <v>135.69999999999999</v>
      </c>
      <c r="C39" s="6">
        <v>5466</v>
      </c>
      <c r="D39" s="7">
        <v>18804</v>
      </c>
      <c r="E39" s="7">
        <v>16024</v>
      </c>
      <c r="F39" s="7">
        <v>9364</v>
      </c>
      <c r="G39" s="8">
        <f t="shared" si="3"/>
        <v>18.803999999999998</v>
      </c>
      <c r="H39" s="8">
        <f t="shared" si="4"/>
        <v>16.024000000000001</v>
      </c>
      <c r="I39" s="9">
        <f t="shared" si="5"/>
        <v>2.0081161896625375</v>
      </c>
      <c r="J39" s="10"/>
    </row>
    <row r="40" spans="1:10" x14ac:dyDescent="0.3">
      <c r="A40" s="11" t="s">
        <v>47</v>
      </c>
      <c r="B40" s="12">
        <v>82.03</v>
      </c>
      <c r="C40" s="13">
        <v>3674</v>
      </c>
      <c r="D40" s="14">
        <v>18789</v>
      </c>
      <c r="E40" s="14">
        <v>17734</v>
      </c>
      <c r="F40" s="14">
        <v>13042</v>
      </c>
      <c r="G40" s="15">
        <f t="shared" si="3"/>
        <v>18.789000000000001</v>
      </c>
      <c r="H40" s="15">
        <f t="shared" si="4"/>
        <v>17.734000000000002</v>
      </c>
      <c r="I40" s="16">
        <f t="shared" si="5"/>
        <v>1.4406532740377243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18787</v>
      </c>
      <c r="E41" s="7">
        <v>17714</v>
      </c>
      <c r="F41" s="7">
        <v>10355</v>
      </c>
      <c r="G41" s="8">
        <f t="shared" si="3"/>
        <v>18.786999999999999</v>
      </c>
      <c r="H41" s="8">
        <f t="shared" si="4"/>
        <v>17.713999999999999</v>
      </c>
      <c r="I41" s="9">
        <f t="shared" si="5"/>
        <v>1.8142926122646064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18586</v>
      </c>
      <c r="E42" s="14">
        <v>17009</v>
      </c>
      <c r="F42" s="14">
        <v>10324</v>
      </c>
      <c r="G42" s="15">
        <f t="shared" si="3"/>
        <v>18.585999999999999</v>
      </c>
      <c r="H42" s="15">
        <f t="shared" si="4"/>
        <v>17.009</v>
      </c>
      <c r="I42" s="16">
        <f t="shared" si="5"/>
        <v>1.8002712127082525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18078</v>
      </c>
      <c r="E43" s="7">
        <v>16659</v>
      </c>
      <c r="F43" s="7">
        <v>9510</v>
      </c>
      <c r="G43" s="8">
        <f t="shared" si="3"/>
        <v>18.077999999999999</v>
      </c>
      <c r="H43" s="8">
        <f t="shared" si="4"/>
        <v>16.658999999999999</v>
      </c>
      <c r="I43" s="9">
        <f t="shared" si="5"/>
        <v>1.9009463722397477</v>
      </c>
      <c r="J43" s="10"/>
    </row>
    <row r="44" spans="1:10" x14ac:dyDescent="0.3">
      <c r="A44" s="11" t="s">
        <v>51</v>
      </c>
      <c r="B44" s="12">
        <v>40.19</v>
      </c>
      <c r="C44" s="13">
        <v>2657</v>
      </c>
      <c r="D44" s="14">
        <v>17009</v>
      </c>
      <c r="E44" s="14">
        <v>16024</v>
      </c>
      <c r="F44" s="14">
        <v>9367</v>
      </c>
      <c r="G44" s="15">
        <f t="shared" si="3"/>
        <v>17.009</v>
      </c>
      <c r="H44" s="15">
        <f t="shared" si="4"/>
        <v>16.024000000000001</v>
      </c>
      <c r="I44" s="16">
        <f t="shared" si="5"/>
        <v>1.8158428525675243</v>
      </c>
      <c r="J44" s="17"/>
    </row>
    <row r="45" spans="1:10" x14ac:dyDescent="0.3">
      <c r="A45" s="4" t="s">
        <v>52</v>
      </c>
      <c r="B45" s="5">
        <v>24.59</v>
      </c>
      <c r="C45" s="6">
        <v>3289</v>
      </c>
      <c r="D45" s="7">
        <v>16873</v>
      </c>
      <c r="E45" s="7">
        <v>15752</v>
      </c>
      <c r="F45" s="7">
        <v>8560</v>
      </c>
      <c r="G45" s="8">
        <f t="shared" si="3"/>
        <v>16.873000000000001</v>
      </c>
      <c r="H45" s="8">
        <f t="shared" si="4"/>
        <v>15.752000000000001</v>
      </c>
      <c r="I45" s="9">
        <f t="shared" si="5"/>
        <v>1.9711448598130841</v>
      </c>
      <c r="J45" s="10"/>
    </row>
    <row r="46" spans="1:10" x14ac:dyDescent="0.3">
      <c r="A46" s="11" t="s">
        <v>53</v>
      </c>
      <c r="B46" s="12">
        <v>30.09</v>
      </c>
      <c r="C46" s="13">
        <v>3233</v>
      </c>
      <c r="D46" s="14">
        <v>16873</v>
      </c>
      <c r="E46" s="14">
        <v>15752</v>
      </c>
      <c r="F46" s="14">
        <v>8180</v>
      </c>
      <c r="G46" s="15">
        <f t="shared" si="3"/>
        <v>16.873000000000001</v>
      </c>
      <c r="H46" s="15">
        <f t="shared" si="4"/>
        <v>15.752000000000001</v>
      </c>
      <c r="I46" s="16">
        <f t="shared" si="5"/>
        <v>2.0627139364303178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15599</v>
      </c>
      <c r="E47" s="7">
        <v>15439</v>
      </c>
      <c r="F47" s="7">
        <v>7664</v>
      </c>
      <c r="G47" s="8">
        <f t="shared" si="3"/>
        <v>15.599</v>
      </c>
      <c r="H47" s="8">
        <f t="shared" si="4"/>
        <v>15.439</v>
      </c>
      <c r="I47" s="9">
        <f t="shared" si="5"/>
        <v>2.0353601252609606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15544</v>
      </c>
      <c r="E48" s="14">
        <v>14116</v>
      </c>
      <c r="F48" s="14">
        <v>7560</v>
      </c>
      <c r="G48" s="15">
        <f t="shared" si="3"/>
        <v>15.544</v>
      </c>
      <c r="H48" s="15">
        <f t="shared" si="4"/>
        <v>14.116</v>
      </c>
      <c r="I48" s="16">
        <f t="shared" si="5"/>
        <v>2.0560846560846562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15544</v>
      </c>
      <c r="E49" s="7">
        <v>14116</v>
      </c>
      <c r="F49" s="7">
        <v>7303</v>
      </c>
      <c r="G49" s="8">
        <f t="shared" si="3"/>
        <v>15.544</v>
      </c>
      <c r="H49" s="8">
        <f t="shared" si="4"/>
        <v>14.116</v>
      </c>
      <c r="I49" s="9">
        <f t="shared" si="5"/>
        <v>2.1284403669724772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15544</v>
      </c>
      <c r="E50" s="14">
        <v>14831</v>
      </c>
      <c r="F50" s="14">
        <v>8238</v>
      </c>
      <c r="G50" s="15">
        <f t="shared" si="3"/>
        <v>15.544</v>
      </c>
      <c r="H50" s="15">
        <f t="shared" si="4"/>
        <v>14.831</v>
      </c>
      <c r="I50" s="16">
        <f t="shared" si="5"/>
        <v>1.8868657441126486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15487</v>
      </c>
      <c r="E51" s="7">
        <v>14116</v>
      </c>
      <c r="F51" s="7">
        <v>7306</v>
      </c>
      <c r="G51" s="8">
        <f t="shared" si="3"/>
        <v>15.487</v>
      </c>
      <c r="H51" s="8">
        <f t="shared" si="4"/>
        <v>14.116</v>
      </c>
      <c r="I51" s="9">
        <f t="shared" si="5"/>
        <v>2.1197645770599509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11835</v>
      </c>
      <c r="E52" s="14">
        <v>8224</v>
      </c>
      <c r="F52" s="14">
        <v>5896</v>
      </c>
      <c r="G52" s="15">
        <f t="shared" si="3"/>
        <v>11.835000000000001</v>
      </c>
      <c r="H52" s="15">
        <f t="shared" si="4"/>
        <v>8.2240000000000002</v>
      </c>
      <c r="I52" s="16">
        <f t="shared" si="5"/>
        <v>2.0072930800542741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11834</v>
      </c>
      <c r="E53" s="7">
        <v>11145</v>
      </c>
      <c r="F53" s="7">
        <v>4215</v>
      </c>
      <c r="G53" s="8">
        <f t="shared" si="3"/>
        <v>11.834</v>
      </c>
      <c r="H53" s="8">
        <f t="shared" si="4"/>
        <v>11.145</v>
      </c>
      <c r="I53" s="9">
        <f t="shared" si="5"/>
        <v>2.8075919335705812</v>
      </c>
      <c r="J53" s="10"/>
    </row>
    <row r="54" spans="1:10" x14ac:dyDescent="0.3">
      <c r="A54" s="18" t="s">
        <v>61</v>
      </c>
      <c r="B54" s="19">
        <v>226.37</v>
      </c>
      <c r="C54" s="20">
        <v>7413</v>
      </c>
      <c r="D54" s="21">
        <v>11392</v>
      </c>
      <c r="E54" s="21">
        <v>9188</v>
      </c>
      <c r="F54" s="21">
        <v>554</v>
      </c>
      <c r="G54" s="22">
        <f t="shared" si="3"/>
        <v>11.391999999999999</v>
      </c>
      <c r="H54" s="22">
        <f t="shared" si="4"/>
        <v>9.1880000000000006</v>
      </c>
      <c r="I54" s="23">
        <f t="shared" si="5"/>
        <v>20.56317689530686</v>
      </c>
      <c r="J54" s="24"/>
    </row>
    <row r="55" spans="1:10" x14ac:dyDescent="0.3">
      <c r="A55" s="18" t="s">
        <v>62</v>
      </c>
      <c r="B55" s="19">
        <v>127.8</v>
      </c>
      <c r="C55" s="20">
        <v>5228</v>
      </c>
      <c r="D55" s="21">
        <v>11392</v>
      </c>
      <c r="E55" s="21">
        <v>9600</v>
      </c>
      <c r="F55" s="21">
        <v>289</v>
      </c>
      <c r="G55" s="22">
        <f t="shared" si="3"/>
        <v>11.391999999999999</v>
      </c>
      <c r="H55" s="22">
        <f t="shared" si="4"/>
        <v>9.6</v>
      </c>
      <c r="I55" s="23">
        <f t="shared" si="5"/>
        <v>39.418685121107266</v>
      </c>
      <c r="J55" s="24"/>
    </row>
    <row r="56" spans="1:10" x14ac:dyDescent="0.3">
      <c r="A56" s="11" t="s">
        <v>63</v>
      </c>
      <c r="B56" s="12">
        <v>31.8</v>
      </c>
      <c r="C56" s="13">
        <v>2339</v>
      </c>
      <c r="D56" s="14">
        <v>11196</v>
      </c>
      <c r="E56" s="14">
        <v>10394</v>
      </c>
      <c r="F56" s="14">
        <v>4262</v>
      </c>
      <c r="G56" s="15">
        <f t="shared" si="3"/>
        <v>11.196</v>
      </c>
      <c r="H56" s="15">
        <f t="shared" si="4"/>
        <v>10.394</v>
      </c>
      <c r="I56" s="16">
        <f t="shared" si="5"/>
        <v>2.626935710933834</v>
      </c>
      <c r="J56" s="17"/>
    </row>
    <row r="57" spans="1:10" x14ac:dyDescent="0.3">
      <c r="A57" s="4" t="s">
        <v>64</v>
      </c>
      <c r="B57" s="5">
        <v>303.58</v>
      </c>
      <c r="C57" s="6">
        <v>7626</v>
      </c>
      <c r="D57" s="7">
        <v>10643</v>
      </c>
      <c r="E57" s="7">
        <v>6775</v>
      </c>
      <c r="F57" s="7">
        <v>6059</v>
      </c>
      <c r="G57" s="8">
        <f t="shared" si="3"/>
        <v>10.643000000000001</v>
      </c>
      <c r="H57" s="8">
        <f t="shared" si="4"/>
        <v>6.7750000000000004</v>
      </c>
      <c r="I57" s="9">
        <f t="shared" si="5"/>
        <v>1.7565604885294603</v>
      </c>
      <c r="J57" s="10"/>
    </row>
    <row r="58" spans="1:10" x14ac:dyDescent="0.3">
      <c r="A58" s="11" t="s">
        <v>65</v>
      </c>
      <c r="B58" s="12">
        <v>49.08</v>
      </c>
      <c r="C58" s="13">
        <v>3023</v>
      </c>
      <c r="D58" s="14">
        <v>10443</v>
      </c>
      <c r="E58" s="14">
        <v>9891</v>
      </c>
      <c r="F58" s="14">
        <v>3629</v>
      </c>
      <c r="G58" s="15">
        <f t="shared" si="3"/>
        <v>10.443</v>
      </c>
      <c r="H58" s="15">
        <f t="shared" si="4"/>
        <v>9.891</v>
      </c>
      <c r="I58" s="16">
        <f t="shared" si="5"/>
        <v>2.8776522457977403</v>
      </c>
      <c r="J58" s="17"/>
    </row>
    <row r="59" spans="1:10" x14ac:dyDescent="0.3">
      <c r="A59" s="4" t="s">
        <v>66</v>
      </c>
      <c r="B59" s="5">
        <v>189.65</v>
      </c>
      <c r="C59" s="6">
        <v>6663</v>
      </c>
      <c r="D59" s="7">
        <v>9935</v>
      </c>
      <c r="E59" s="7">
        <v>6591</v>
      </c>
      <c r="F59" s="7">
        <v>5929</v>
      </c>
      <c r="G59" s="8">
        <f t="shared" si="3"/>
        <v>9.9350000000000005</v>
      </c>
      <c r="H59" s="8">
        <f t="shared" si="4"/>
        <v>6.5910000000000002</v>
      </c>
      <c r="I59" s="9">
        <f t="shared" si="5"/>
        <v>1.675662000337325</v>
      </c>
      <c r="J59" s="10"/>
    </row>
    <row r="60" spans="1:10" x14ac:dyDescent="0.3">
      <c r="A60" s="18" t="s">
        <v>67</v>
      </c>
      <c r="B60" s="19">
        <v>172.75</v>
      </c>
      <c r="C60" s="20">
        <v>5905</v>
      </c>
      <c r="D60" s="21">
        <v>9916</v>
      </c>
      <c r="E60" s="21">
        <v>6738</v>
      </c>
      <c r="F60" s="21">
        <v>2656</v>
      </c>
      <c r="G60" s="22">
        <f t="shared" si="3"/>
        <v>9.9160000000000004</v>
      </c>
      <c r="H60" s="22">
        <f t="shared" si="4"/>
        <v>6.7380000000000004</v>
      </c>
      <c r="I60" s="23">
        <f t="shared" si="5"/>
        <v>3.7334337349397591</v>
      </c>
      <c r="J60" s="24"/>
    </row>
    <row r="61" spans="1:10" x14ac:dyDescent="0.3">
      <c r="A61" s="18" t="s">
        <v>68</v>
      </c>
      <c r="B61" s="19">
        <v>93.41</v>
      </c>
      <c r="C61" s="20">
        <v>4212</v>
      </c>
      <c r="D61" s="21">
        <v>9600</v>
      </c>
      <c r="E61" s="21">
        <v>8252</v>
      </c>
      <c r="F61" s="21">
        <v>539</v>
      </c>
      <c r="G61" s="22">
        <f t="shared" si="3"/>
        <v>9.6</v>
      </c>
      <c r="H61" s="22">
        <f t="shared" si="4"/>
        <v>8.2520000000000007</v>
      </c>
      <c r="I61" s="23">
        <f t="shared" si="5"/>
        <v>17.810760667903526</v>
      </c>
      <c r="J61" s="24"/>
    </row>
    <row r="62" spans="1:10" x14ac:dyDescent="0.3">
      <c r="A62" s="18" t="s">
        <v>69</v>
      </c>
      <c r="B62" s="19">
        <v>30.12</v>
      </c>
      <c r="C62" s="20">
        <v>2592</v>
      </c>
      <c r="D62" s="21">
        <v>9450</v>
      </c>
      <c r="E62" s="21">
        <v>8286</v>
      </c>
      <c r="F62" s="21">
        <v>929</v>
      </c>
      <c r="G62" s="22">
        <f t="shared" si="3"/>
        <v>9.4499999999999993</v>
      </c>
      <c r="H62" s="22">
        <f t="shared" si="4"/>
        <v>8.2859999999999996</v>
      </c>
      <c r="I62" s="23">
        <f t="shared" si="5"/>
        <v>10.172228202368137</v>
      </c>
      <c r="J62" s="24"/>
    </row>
    <row r="63" spans="1:10" x14ac:dyDescent="0.3">
      <c r="A63" s="4" t="s">
        <v>70</v>
      </c>
      <c r="B63" s="5">
        <v>46.34</v>
      </c>
      <c r="C63" s="6">
        <v>2872</v>
      </c>
      <c r="D63" s="7">
        <v>8982</v>
      </c>
      <c r="E63" s="7">
        <v>7133</v>
      </c>
      <c r="F63" s="7">
        <v>5202</v>
      </c>
      <c r="G63" s="8">
        <f t="shared" si="3"/>
        <v>8.9819999999999993</v>
      </c>
      <c r="H63" s="8">
        <f t="shared" si="4"/>
        <v>7.133</v>
      </c>
      <c r="I63" s="9">
        <f t="shared" si="5"/>
        <v>1.726643598615917</v>
      </c>
      <c r="J63" s="10"/>
    </row>
    <row r="64" spans="1:10" x14ac:dyDescent="0.3">
      <c r="A64" s="18" t="s">
        <v>71</v>
      </c>
      <c r="B64" s="19">
        <v>286.07</v>
      </c>
      <c r="C64" s="20">
        <v>6866</v>
      </c>
      <c r="D64" s="21">
        <v>8739</v>
      </c>
      <c r="E64" s="21">
        <v>5244</v>
      </c>
      <c r="F64" s="21">
        <v>2661</v>
      </c>
      <c r="G64" s="22">
        <f t="shared" si="3"/>
        <v>8.7390000000000008</v>
      </c>
      <c r="H64" s="22">
        <f t="shared" si="4"/>
        <v>5.2439999999999998</v>
      </c>
      <c r="I64" s="23">
        <f t="shared" si="5"/>
        <v>3.2841037204058625</v>
      </c>
      <c r="J64" s="24"/>
    </row>
    <row r="65" spans="1:10" x14ac:dyDescent="0.3">
      <c r="A65" s="18" t="s">
        <v>72</v>
      </c>
      <c r="B65" s="19">
        <v>39.74</v>
      </c>
      <c r="C65" s="20">
        <v>3355</v>
      </c>
      <c r="D65" s="21">
        <v>8286</v>
      </c>
      <c r="E65" s="21">
        <v>7283</v>
      </c>
      <c r="F65" s="21">
        <v>1816</v>
      </c>
      <c r="G65" s="22">
        <f t="shared" si="3"/>
        <v>8.2859999999999996</v>
      </c>
      <c r="H65" s="22">
        <f t="shared" si="4"/>
        <v>7.2830000000000004</v>
      </c>
      <c r="I65" s="23">
        <f t="shared" si="5"/>
        <v>4.5627753303964758</v>
      </c>
      <c r="J65" s="24"/>
    </row>
    <row r="66" spans="1:10" x14ac:dyDescent="0.3">
      <c r="A66" s="18" t="s">
        <v>73</v>
      </c>
      <c r="B66" s="19">
        <v>72.52</v>
      </c>
      <c r="C66" s="20">
        <v>3558</v>
      </c>
      <c r="D66" s="21">
        <v>8286</v>
      </c>
      <c r="E66" s="21">
        <v>6044</v>
      </c>
      <c r="F66" s="21">
        <v>1840</v>
      </c>
      <c r="G66" s="22">
        <f t="shared" si="3"/>
        <v>8.2859999999999996</v>
      </c>
      <c r="H66" s="22">
        <f t="shared" si="4"/>
        <v>6.0439999999999996</v>
      </c>
      <c r="I66" s="23">
        <f t="shared" si="5"/>
        <v>4.5032608695652172</v>
      </c>
      <c r="J66" s="24"/>
    </row>
    <row r="67" spans="1:10" x14ac:dyDescent="0.3">
      <c r="A67" s="18" t="s">
        <v>74</v>
      </c>
      <c r="B67" s="19">
        <v>159.81</v>
      </c>
      <c r="C67" s="20">
        <v>5989</v>
      </c>
      <c r="D67" s="21">
        <v>5271</v>
      </c>
      <c r="E67" s="21">
        <v>3243</v>
      </c>
      <c r="F67" s="21">
        <v>623</v>
      </c>
      <c r="G67" s="22">
        <f t="shared" si="3"/>
        <v>5.2709999999999999</v>
      </c>
      <c r="H67" s="22">
        <f t="shared" si="4"/>
        <v>3.2429999999999999</v>
      </c>
      <c r="I67" s="23">
        <f t="shared" si="5"/>
        <v>8.4606741573033712</v>
      </c>
      <c r="J67" s="24"/>
    </row>
    <row r="68" spans="1:10" x14ac:dyDescent="0.3">
      <c r="A68" s="18" t="s">
        <v>75</v>
      </c>
      <c r="B68" s="19">
        <v>110.29</v>
      </c>
      <c r="C68" s="20">
        <v>5351</v>
      </c>
      <c r="D68" s="21">
        <v>4395</v>
      </c>
      <c r="E68" s="21">
        <v>616</v>
      </c>
      <c r="F68" s="21">
        <v>172</v>
      </c>
      <c r="G68" s="22">
        <f t="shared" si="3"/>
        <v>4.3949999999999996</v>
      </c>
      <c r="H68" s="22">
        <f t="shared" si="4"/>
        <v>0.61599999999999999</v>
      </c>
      <c r="I68" s="23">
        <f t="shared" si="5"/>
        <v>25.552325581395348</v>
      </c>
      <c r="J68" s="24"/>
    </row>
    <row r="69" spans="1:10" x14ac:dyDescent="0.3">
      <c r="A69" s="18" t="s">
        <v>76</v>
      </c>
      <c r="B69" s="19">
        <v>29.65</v>
      </c>
      <c r="C69" s="20">
        <v>2527</v>
      </c>
      <c r="D69" s="21">
        <v>1536</v>
      </c>
      <c r="E69" s="21">
        <v>266</v>
      </c>
      <c r="F69" s="21">
        <v>250</v>
      </c>
      <c r="G69" s="22">
        <f t="shared" si="3"/>
        <v>1.536</v>
      </c>
      <c r="H69" s="22">
        <f t="shared" si="4"/>
        <v>0.26600000000000001</v>
      </c>
      <c r="I69" s="23">
        <f t="shared" si="5"/>
        <v>6.1440000000000001</v>
      </c>
      <c r="J69" s="24"/>
    </row>
    <row r="70" spans="1:10" x14ac:dyDescent="0.3">
      <c r="A70" s="18" t="s">
        <v>77</v>
      </c>
      <c r="B70" s="19">
        <v>33.869999999999997</v>
      </c>
      <c r="C70" s="20">
        <v>2696</v>
      </c>
      <c r="D70" s="25" t="s">
        <v>78</v>
      </c>
      <c r="E70" s="25" t="s">
        <v>78</v>
      </c>
      <c r="F70" s="21">
        <v>3966</v>
      </c>
      <c r="G70" s="26" t="s">
        <v>79</v>
      </c>
      <c r="H70" s="26" t="s">
        <v>79</v>
      </c>
      <c r="I70" s="27" t="s">
        <v>79</v>
      </c>
      <c r="J70" s="28" t="s">
        <v>80</v>
      </c>
    </row>
    <row r="71" spans="1:10" x14ac:dyDescent="0.3">
      <c r="A71" s="18" t="s">
        <v>81</v>
      </c>
      <c r="B71" s="19">
        <v>40.44</v>
      </c>
      <c r="C71" s="20">
        <v>2957</v>
      </c>
      <c r="D71" s="25" t="s">
        <v>78</v>
      </c>
      <c r="E71" s="25" t="s">
        <v>78</v>
      </c>
      <c r="F71" s="21">
        <v>2698</v>
      </c>
      <c r="G71" s="26" t="s">
        <v>79</v>
      </c>
      <c r="H71" s="26" t="s">
        <v>79</v>
      </c>
      <c r="I71" s="27" t="s">
        <v>79</v>
      </c>
      <c r="J71" s="28" t="s">
        <v>80</v>
      </c>
    </row>
    <row r="72" spans="1:10" x14ac:dyDescent="0.3">
      <c r="A72" s="18" t="s">
        <v>82</v>
      </c>
      <c r="B72" s="19">
        <v>36.46</v>
      </c>
      <c r="C72" s="20">
        <v>2605</v>
      </c>
      <c r="D72" s="25" t="s">
        <v>78</v>
      </c>
      <c r="E72" s="25" t="s">
        <v>78</v>
      </c>
      <c r="F72" s="21">
        <v>3603</v>
      </c>
      <c r="G72" s="26" t="s">
        <v>79</v>
      </c>
      <c r="H72" s="26" t="s">
        <v>79</v>
      </c>
      <c r="I72" s="27" t="s">
        <v>79</v>
      </c>
      <c r="J72" s="28" t="s">
        <v>80</v>
      </c>
    </row>
    <row r="73" spans="1:10" x14ac:dyDescent="0.3">
      <c r="A73" s="18" t="s">
        <v>83</v>
      </c>
      <c r="B73" s="19">
        <v>39.65</v>
      </c>
      <c r="C73" s="20">
        <v>2528</v>
      </c>
      <c r="D73" s="25" t="s">
        <v>78</v>
      </c>
      <c r="E73" s="25" t="s">
        <v>78</v>
      </c>
      <c r="F73" s="21">
        <v>13714</v>
      </c>
      <c r="G73" s="26" t="s">
        <v>79</v>
      </c>
      <c r="H73" s="26" t="s">
        <v>79</v>
      </c>
      <c r="I73" s="27" t="s">
        <v>79</v>
      </c>
      <c r="J73" s="28" t="s">
        <v>80</v>
      </c>
    </row>
    <row r="74" spans="1:10" x14ac:dyDescent="0.3">
      <c r="A74" s="18" t="s">
        <v>84</v>
      </c>
      <c r="B74" s="19">
        <v>3.24</v>
      </c>
      <c r="C74" s="20">
        <v>1056</v>
      </c>
      <c r="D74" s="25" t="s">
        <v>78</v>
      </c>
      <c r="E74" s="25" t="s">
        <v>78</v>
      </c>
      <c r="F74" s="21">
        <v>3969</v>
      </c>
      <c r="G74" s="26" t="s">
        <v>79</v>
      </c>
      <c r="H74" s="26" t="s">
        <v>79</v>
      </c>
      <c r="I74" s="27" t="s">
        <v>79</v>
      </c>
      <c r="J74" s="28" t="s">
        <v>80</v>
      </c>
    </row>
    <row r="76" spans="1:10" x14ac:dyDescent="0.3">
      <c r="A76" s="29" t="s">
        <v>85</v>
      </c>
      <c r="B76" s="30">
        <f>SUM(B5:B74)</f>
        <v>5758.6099999999988</v>
      </c>
      <c r="D76" s="31">
        <f>MAX(D5:D74)</f>
        <v>27435</v>
      </c>
      <c r="G76" s="32">
        <f>IFERROR(MAX(G5:G74),"")</f>
        <v>27.434999999999999</v>
      </c>
      <c r="I76" s="33">
        <f>IFERROR(AVERAGE(I5:I74),"")</f>
        <v>3.7325692574407903</v>
      </c>
    </row>
    <row r="77" spans="1:10" x14ac:dyDescent="0.3">
      <c r="A77" s="34" t="s">
        <v>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87</v>
      </c>
    </row>
    <row r="3" spans="1:2" ht="30" customHeight="1" x14ac:dyDescent="0.3">
      <c r="A3" s="36" t="s">
        <v>88</v>
      </c>
      <c r="B3" s="37" t="s">
        <v>89</v>
      </c>
    </row>
    <row r="4" spans="1:2" ht="30" customHeight="1" x14ac:dyDescent="0.3">
      <c r="A4" s="36" t="s">
        <v>90</v>
      </c>
      <c r="B4" s="37" t="s">
        <v>91</v>
      </c>
    </row>
    <row r="5" spans="1:2" ht="30" customHeight="1" x14ac:dyDescent="0.3">
      <c r="A5" s="36" t="s">
        <v>92</v>
      </c>
      <c r="B5" s="37" t="s">
        <v>93</v>
      </c>
    </row>
    <row r="6" spans="1:2" ht="30" customHeight="1" x14ac:dyDescent="0.3">
      <c r="A6" s="36" t="s">
        <v>94</v>
      </c>
      <c r="B6" s="37" t="s">
        <v>95</v>
      </c>
    </row>
    <row r="7" spans="1:2" ht="30" customHeight="1" x14ac:dyDescent="0.3">
      <c r="A7" s="36" t="s">
        <v>96</v>
      </c>
      <c r="B7" s="37" t="s">
        <v>97</v>
      </c>
    </row>
    <row r="8" spans="1:2" ht="30" customHeight="1" x14ac:dyDescent="0.3">
      <c r="A8" s="36" t="s">
        <v>98</v>
      </c>
      <c r="B8" s="37" t="s">
        <v>99</v>
      </c>
    </row>
    <row r="9" spans="1:2" ht="30" customHeight="1" x14ac:dyDescent="0.3">
      <c r="A9" s="36" t="s">
        <v>100</v>
      </c>
      <c r="B9" s="37" t="s">
        <v>101</v>
      </c>
    </row>
    <row r="10" spans="1:2" ht="30" customHeight="1" x14ac:dyDescent="0.3">
      <c r="A10" s="36" t="s">
        <v>102</v>
      </c>
      <c r="B10" s="37" t="s">
        <v>103</v>
      </c>
    </row>
    <row r="11" spans="1:2" ht="30" customHeight="1" x14ac:dyDescent="0.3">
      <c r="A11" s="36" t="s">
        <v>104</v>
      </c>
      <c r="B11" s="37" t="s">
        <v>105</v>
      </c>
    </row>
    <row r="12" spans="1:2" ht="30" customHeight="1" x14ac:dyDescent="0.3">
      <c r="A12" s="36" t="s">
        <v>106</v>
      </c>
      <c r="B12" s="37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2026-09-15T21:29:20Z</dcterms:created>
  <dcterms:modified xsi:type="dcterms:W3CDTF">2026-09-15T21:29:53Z</dcterms:modified>
</cp:coreProperties>
</file>