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stâncias" sheetId="1" state="visible" r:id="rId3"/>
    <sheet name="Premissa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<sst xmlns="http://schemas.openxmlformats.org/spreadsheetml/2006/main" count="59" uniqueCount="59">
  <si>
    <t xml:space="preserve">FAZENDA PANAMA — distância dos talhões até a sede</t>
  </si>
  <si>
    <t xml:space="preserve">Percurso pelas estradas/carreadores, até o ponto mais extremo do talhão.</t>
  </si>
  <si>
    <t xml:space="preserve">Talhão</t>
  </si>
  <si>
    <t xml:space="preserve">Área (ha)</t>
  </si>
  <si>
    <t xml:space="preserve">Perímetro (m)</t>
  </si>
  <si>
    <t xml:space="preserve">Dist. máxima (m)</t>
  </si>
  <si>
    <t xml:space="preserve">Dist. mínima (m)</t>
  </si>
  <si>
    <t xml:space="preserve">Linha reta (m)</t>
  </si>
  <si>
    <t xml:space="preserve">Máxima (km)</t>
  </si>
  <si>
    <t xml:space="preserve">Mínima (km)</t>
  </si>
  <si>
    <t xml:space="preserve">Fator estrada/reta</t>
  </si>
  <si>
    <t xml:space="preserve">Observação</t>
  </si>
  <si>
    <t xml:space="preserve">T-03</t>
  </si>
  <si>
    <t xml:space="preserve">T-06</t>
  </si>
  <si>
    <t xml:space="preserve">P-23</t>
  </si>
  <si>
    <t xml:space="preserve">T-09</t>
  </si>
  <si>
    <t xml:space="preserve">T-02</t>
  </si>
  <si>
    <t xml:space="preserve">P-22</t>
  </si>
  <si>
    <t xml:space="preserve">P-19</t>
  </si>
  <si>
    <t xml:space="preserve">T-12</t>
  </si>
  <si>
    <t xml:space="preserve">T-05</t>
  </si>
  <si>
    <t xml:space="preserve">T-01</t>
  </si>
  <si>
    <t xml:space="preserve">T-04</t>
  </si>
  <si>
    <t xml:space="preserve">P-15</t>
  </si>
  <si>
    <t xml:space="preserve">T-14</t>
  </si>
  <si>
    <t xml:space="preserve">T-08</t>
  </si>
  <si>
    <t xml:space="preserve">P-18</t>
  </si>
  <si>
    <t xml:space="preserve">T-07</t>
  </si>
  <si>
    <t xml:space="preserve">P-21</t>
  </si>
  <si>
    <t xml:space="preserve">T-11</t>
  </si>
  <si>
    <t xml:space="preserve">P-20</t>
  </si>
  <si>
    <t xml:space="preserve">T-13</t>
  </si>
  <si>
    <t xml:space="preserve">T-10</t>
  </si>
  <si>
    <t xml:space="preserve">P-17</t>
  </si>
  <si>
    <t xml:space="preserve">T-16</t>
  </si>
  <si>
    <t xml:space="preserve">P-16</t>
  </si>
  <si>
    <t xml:space="preserve">TOTAL / MÁXIMO</t>
  </si>
  <si>
    <t xml:space="preserve">Fundo amarelo = precisa de conferência: fator ≥ 3,0, ligação suposta, ou talhão sem estrada. Veja a coluna Observação.</t>
  </si>
  <si>
    <t xml:space="preserve">Como estes números foram calculados</t>
  </si>
  <si>
    <t xml:space="preserve">Origem</t>
  </si>
  <si>
    <t xml:space="preserve">Ponto de sede do projeto do Google Earth (-13.759291, -58.743484).</t>
  </si>
  <si>
    <t xml:space="preserve">Talhões</t>
  </si>
  <si>
    <t xml:space="preserve">24 polígonos da pasta FAZENDA PANAMA.</t>
  </si>
  <si>
    <t xml:space="preserve">Malha de estradas</t>
  </si>
  <si>
    <t xml:space="preserve">Divisas dos talhões (os carreadores correm nas divisas), costuradas onde talhões vizinhos são separados pela faixa do carreador (até 45 m), mais as estradas de dados/estradas_extra.json.</t>
  </si>
  <si>
    <t xml:space="preserve">Dist. máxima</t>
  </si>
  <si>
    <t xml:space="preserve">Menor caminho pela estrada, da sede até o ponto MAIS EXTREMO do perímetro do talhão. Não corta por dentro da lavoura.</t>
  </si>
  <si>
    <t xml:space="preserve">Dist. mínima</t>
  </si>
  <si>
    <t xml:space="preserve">Menor caminho pela estrada, da sede até o ponto de acesso mais próximo.</t>
  </si>
  <si>
    <t xml:space="preserve">Linha reta</t>
  </si>
  <si>
    <t xml:space="preserve">Distância em linha reta da sede até a borda do talhão. Só referência.</t>
  </si>
  <si>
    <t xml:space="preserve">Fator</t>
  </si>
  <si>
    <t xml:space="preserve">Dist. máxima ÷ linha reta. Fator alto = rota indireta, ou estrada faltando na malha.</t>
  </si>
  <si>
    <t xml:space="preserve">Coordenadas</t>
  </si>
  <si>
    <t xml:space="preserve">SIRGAS 2000 / UTM 21S (EPSG:31981) para distâncias e áreas.</t>
  </si>
  <si>
    <t xml:space="preserve">Resolução</t>
  </si>
  <si>
    <t xml:space="preserve">Malha densificada a cada 25 m — é a precisão do 'ponto mais extremo'.</t>
  </si>
  <si>
    <t xml:space="preserve">Validação</t>
  </si>
  <si>
    <t xml:space="preserve">A malha precisa ser conferida por quem roda a fazenda. Use o arquivo _bancada.html.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</si>
</sst>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"/>
    <numFmt numFmtId="166" formatCode="#,##0"/>
    <numFmt numFmtId="167" formatCode="#,##0.00"/>
    <numFmt numFmtId="168" formatCode="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00000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3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5" min="4" style="0" width="16"/>
    <col collapsed="false" customWidth="true" hidden="false" outlineLevel="0" max="6" min="6" style="0" width="14"/>
    <col collapsed="false" customWidth="true" hidden="false" outlineLevel="0" max="8" min="7" style="0" width="12"/>
    <col collapsed="false" customWidth="true" hidden="false" outlineLevel="0" max="9" min="9" style="0" width="17"/>
    <col collapsed="false" customWidth="true" hidden="false" outlineLevel="0" max="10" min="10" style="0" width="3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15" hidden="false" customHeight="false" outlineLevel="0" collapsed="false">
      <c r="A5" s="4" t="s">
        <v>12</v>
      </c>
      <c r="B5" s="5" t="n">
        <v>73.69</v>
      </c>
      <c r="C5" s="6" t="n">
        <v>4875</v>
      </c>
      <c r="D5" s="7" t="n">
        <v>7675</v>
      </c>
      <c r="E5" s="7" t="n">
        <v>5617</v>
      </c>
      <c r="F5" s="7" t="n">
        <v>3796</v>
      </c>
      <c r="G5" s="8" t="n">
        <f aca="false">D5/1000</f>
        <v>7.675</v>
      </c>
      <c r="H5" s="8" t="n">
        <f aca="false">E5/1000</f>
        <v>5.617</v>
      </c>
      <c r="I5" s="9" t="n">
        <f aca="false">IFERROR(D5/F5,"")</f>
        <v>2.02186512118019</v>
      </c>
      <c r="J5" s="10"/>
    </row>
    <row r="6" customFormat="false" ht="15" hidden="false" customHeight="false" outlineLevel="0" collapsed="false">
      <c r="A6" s="11" t="s">
        <v>13</v>
      </c>
      <c r="B6" s="12" t="n">
        <v>165.19</v>
      </c>
      <c r="C6" s="13" t="n">
        <v>5893</v>
      </c>
      <c r="D6" s="14" t="n">
        <v>7280</v>
      </c>
      <c r="E6" s="14" t="n">
        <v>4503</v>
      </c>
      <c r="F6" s="14" t="n">
        <v>2870</v>
      </c>
      <c r="G6" s="15" t="n">
        <f aca="false">D6/1000</f>
        <v>7.28</v>
      </c>
      <c r="H6" s="15" t="n">
        <f aca="false">E6/1000</f>
        <v>4.503</v>
      </c>
      <c r="I6" s="16" t="n">
        <f aca="false">IFERROR(D6/F6,"")</f>
        <v>2.53658536585366</v>
      </c>
      <c r="J6" s="17"/>
    </row>
    <row r="7" customFormat="false" ht="15" hidden="false" customHeight="false" outlineLevel="0" collapsed="false">
      <c r="A7" s="4" t="s">
        <v>14</v>
      </c>
      <c r="B7" s="5" t="n">
        <v>126.4</v>
      </c>
      <c r="C7" s="6" t="n">
        <v>4651</v>
      </c>
      <c r="D7" s="7" t="n">
        <v>6928</v>
      </c>
      <c r="E7" s="7" t="n">
        <v>4604</v>
      </c>
      <c r="F7" s="7" t="n">
        <v>3350</v>
      </c>
      <c r="G7" s="8" t="n">
        <f aca="false">D7/1000</f>
        <v>6.928</v>
      </c>
      <c r="H7" s="8" t="n">
        <f aca="false">E7/1000</f>
        <v>4.604</v>
      </c>
      <c r="I7" s="9" t="n">
        <f aca="false">IFERROR(D7/F7,"")</f>
        <v>2.06805970149254</v>
      </c>
      <c r="J7" s="10"/>
    </row>
    <row r="8" customFormat="false" ht="15" hidden="false" customHeight="false" outlineLevel="0" collapsed="false">
      <c r="A8" s="18" t="s">
        <v>15</v>
      </c>
      <c r="B8" s="19" t="n">
        <v>185.59</v>
      </c>
      <c r="C8" s="20" t="n">
        <v>6451</v>
      </c>
      <c r="D8" s="21" t="n">
        <v>6640</v>
      </c>
      <c r="E8" s="21" t="n">
        <v>3419</v>
      </c>
      <c r="F8" s="21" t="n">
        <v>2159</v>
      </c>
      <c r="G8" s="22" t="n">
        <f aca="false">D8/1000</f>
        <v>6.64</v>
      </c>
      <c r="H8" s="22" t="n">
        <f aca="false">E8/1000</f>
        <v>3.419</v>
      </c>
      <c r="I8" s="23" t="n">
        <f aca="false">IFERROR(D8/F8,"")</f>
        <v>3.07549791570171</v>
      </c>
      <c r="J8" s="24"/>
    </row>
    <row r="9" customFormat="false" ht="15" hidden="false" customHeight="false" outlineLevel="0" collapsed="false">
      <c r="A9" s="4" t="s">
        <v>16</v>
      </c>
      <c r="B9" s="5" t="n">
        <v>93.91</v>
      </c>
      <c r="C9" s="6" t="n">
        <v>4667</v>
      </c>
      <c r="D9" s="7" t="n">
        <v>6069</v>
      </c>
      <c r="E9" s="7" t="n">
        <v>3748</v>
      </c>
      <c r="F9" s="7" t="n">
        <v>3453</v>
      </c>
      <c r="G9" s="8" t="n">
        <f aca="false">D9/1000</f>
        <v>6.069</v>
      </c>
      <c r="H9" s="8" t="n">
        <f aca="false">E9/1000</f>
        <v>3.748</v>
      </c>
      <c r="I9" s="9" t="n">
        <f aca="false">IFERROR(D9/F9,"")</f>
        <v>1.75760208514335</v>
      </c>
      <c r="J9" s="10"/>
    </row>
    <row r="10" customFormat="false" ht="15" hidden="false" customHeight="false" outlineLevel="0" collapsed="false">
      <c r="A10" s="11" t="s">
        <v>17</v>
      </c>
      <c r="B10" s="12" t="n">
        <v>104.48</v>
      </c>
      <c r="C10" s="13" t="n">
        <v>4116</v>
      </c>
      <c r="D10" s="14" t="n">
        <v>5797</v>
      </c>
      <c r="E10" s="14" t="n">
        <v>3752</v>
      </c>
      <c r="F10" s="14" t="n">
        <v>2549</v>
      </c>
      <c r="G10" s="15" t="n">
        <f aca="false">D10/1000</f>
        <v>5.797</v>
      </c>
      <c r="H10" s="15" t="n">
        <f aca="false">E10/1000</f>
        <v>3.752</v>
      </c>
      <c r="I10" s="16" t="n">
        <f aca="false">IFERROR(D10/F10,"")</f>
        <v>2.27422518634759</v>
      </c>
      <c r="J10" s="17"/>
    </row>
    <row r="11" customFormat="false" ht="15" hidden="false" customHeight="false" outlineLevel="0" collapsed="false">
      <c r="A11" s="4" t="s">
        <v>18</v>
      </c>
      <c r="B11" s="5" t="n">
        <v>128.74</v>
      </c>
      <c r="C11" s="6" t="n">
        <v>4709</v>
      </c>
      <c r="D11" s="7" t="n">
        <v>5774</v>
      </c>
      <c r="E11" s="7" t="n">
        <v>3648</v>
      </c>
      <c r="F11" s="7" t="n">
        <v>2722</v>
      </c>
      <c r="G11" s="8" t="n">
        <f aca="false">D11/1000</f>
        <v>5.774</v>
      </c>
      <c r="H11" s="8" t="n">
        <f aca="false">E11/1000</f>
        <v>3.648</v>
      </c>
      <c r="I11" s="9" t="n">
        <f aca="false">IFERROR(D11/F11,"")</f>
        <v>2.12123438648053</v>
      </c>
      <c r="J11" s="10"/>
    </row>
    <row r="12" customFormat="false" ht="15" hidden="false" customHeight="false" outlineLevel="0" collapsed="false">
      <c r="A12" s="18" t="s">
        <v>19</v>
      </c>
      <c r="B12" s="19" t="n">
        <v>141.49</v>
      </c>
      <c r="C12" s="20" t="n">
        <v>7024</v>
      </c>
      <c r="D12" s="21" t="n">
        <v>5608</v>
      </c>
      <c r="E12" s="21" t="n">
        <v>2765</v>
      </c>
      <c r="F12" s="21" t="n">
        <v>1843</v>
      </c>
      <c r="G12" s="22" t="n">
        <f aca="false">D12/1000</f>
        <v>5.608</v>
      </c>
      <c r="H12" s="22" t="n">
        <f aca="false">E12/1000</f>
        <v>2.765</v>
      </c>
      <c r="I12" s="23" t="n">
        <f aca="false">IFERROR(D12/F12,"")</f>
        <v>3.04286489419425</v>
      </c>
      <c r="J12" s="24"/>
    </row>
    <row r="13" customFormat="false" ht="15" hidden="false" customHeight="false" outlineLevel="0" collapsed="false">
      <c r="A13" s="4" t="s">
        <v>20</v>
      </c>
      <c r="B13" s="5" t="n">
        <v>205.66</v>
      </c>
      <c r="C13" s="6" t="n">
        <v>5951</v>
      </c>
      <c r="D13" s="7" t="n">
        <v>5604</v>
      </c>
      <c r="E13" s="7" t="n">
        <v>2641</v>
      </c>
      <c r="F13" s="7" t="n">
        <v>2356</v>
      </c>
      <c r="G13" s="8" t="n">
        <f aca="false">D13/1000</f>
        <v>5.604</v>
      </c>
      <c r="H13" s="8" t="n">
        <f aca="false">E13/1000</f>
        <v>2.641</v>
      </c>
      <c r="I13" s="9" t="n">
        <f aca="false">IFERROR(D13/F13,"")</f>
        <v>2.3786078098472</v>
      </c>
      <c r="J13" s="10"/>
    </row>
    <row r="14" customFormat="false" ht="15" hidden="false" customHeight="false" outlineLevel="0" collapsed="false">
      <c r="A14" s="11" t="s">
        <v>21</v>
      </c>
      <c r="B14" s="12" t="n">
        <v>59.49</v>
      </c>
      <c r="C14" s="13" t="n">
        <v>4192</v>
      </c>
      <c r="D14" s="14" t="n">
        <v>5603</v>
      </c>
      <c r="E14" s="14" t="n">
        <v>3748</v>
      </c>
      <c r="F14" s="14" t="n">
        <v>3468</v>
      </c>
      <c r="G14" s="15" t="n">
        <f aca="false">D14/1000</f>
        <v>5.603</v>
      </c>
      <c r="H14" s="15" t="n">
        <f aca="false">E14/1000</f>
        <v>3.748</v>
      </c>
      <c r="I14" s="16" t="n">
        <f aca="false">IFERROR(D14/F14,"")</f>
        <v>1.61562860438293</v>
      </c>
      <c r="J14" s="17"/>
    </row>
    <row r="15" customFormat="false" ht="15" hidden="false" customHeight="false" outlineLevel="0" collapsed="false">
      <c r="A15" s="4" t="s">
        <v>22</v>
      </c>
      <c r="B15" s="5" t="n">
        <v>205.61</v>
      </c>
      <c r="C15" s="6" t="n">
        <v>5931</v>
      </c>
      <c r="D15" s="7" t="n">
        <v>5260</v>
      </c>
      <c r="E15" s="7" t="n">
        <v>2647</v>
      </c>
      <c r="F15" s="7" t="n">
        <v>2368</v>
      </c>
      <c r="G15" s="8" t="n">
        <f aca="false">D15/1000</f>
        <v>5.26</v>
      </c>
      <c r="H15" s="8" t="n">
        <f aca="false">E15/1000</f>
        <v>2.647</v>
      </c>
      <c r="I15" s="9" t="n">
        <f aca="false">IFERROR(D15/F15,"")</f>
        <v>2.22128378378378</v>
      </c>
      <c r="J15" s="10"/>
    </row>
    <row r="16" customFormat="false" ht="15" hidden="false" customHeight="false" outlineLevel="0" collapsed="false">
      <c r="A16" s="11" t="s">
        <v>23</v>
      </c>
      <c r="B16" s="12" t="n">
        <v>111.43</v>
      </c>
      <c r="C16" s="13" t="n">
        <v>5109</v>
      </c>
      <c r="D16" s="14" t="n">
        <v>5228</v>
      </c>
      <c r="E16" s="14" t="n">
        <v>2897</v>
      </c>
      <c r="F16" s="14" t="n">
        <v>1838</v>
      </c>
      <c r="G16" s="15" t="n">
        <f aca="false">D16/1000</f>
        <v>5.228</v>
      </c>
      <c r="H16" s="15" t="n">
        <f aca="false">E16/1000</f>
        <v>2.897</v>
      </c>
      <c r="I16" s="16" t="n">
        <f aca="false">IFERROR(D16/F16,"")</f>
        <v>2.84439608269859</v>
      </c>
      <c r="J16" s="17"/>
    </row>
    <row r="17" customFormat="false" ht="15" hidden="false" customHeight="false" outlineLevel="0" collapsed="false">
      <c r="A17" s="4" t="s">
        <v>24</v>
      </c>
      <c r="B17" s="5" t="n">
        <v>81.07</v>
      </c>
      <c r="C17" s="6" t="n">
        <v>4914</v>
      </c>
      <c r="D17" s="7" t="n">
        <v>5197</v>
      </c>
      <c r="E17" s="7" t="n">
        <v>2790</v>
      </c>
      <c r="F17" s="7" t="n">
        <v>1828</v>
      </c>
      <c r="G17" s="8" t="n">
        <f aca="false">D17/1000</f>
        <v>5.197</v>
      </c>
      <c r="H17" s="8" t="n">
        <f aca="false">E17/1000</f>
        <v>2.79</v>
      </c>
      <c r="I17" s="9" t="n">
        <f aca="false">IFERROR(D17/F17,"")</f>
        <v>2.84299781181619</v>
      </c>
      <c r="J17" s="10"/>
    </row>
    <row r="18" customFormat="false" ht="15" hidden="false" customHeight="false" outlineLevel="0" collapsed="false">
      <c r="A18" s="18" t="s">
        <v>25</v>
      </c>
      <c r="B18" s="19" t="n">
        <v>202.95</v>
      </c>
      <c r="C18" s="20" t="n">
        <v>5923</v>
      </c>
      <c r="D18" s="21" t="n">
        <v>4503</v>
      </c>
      <c r="E18" s="21" t="n">
        <v>1553</v>
      </c>
      <c r="F18" s="21" t="n">
        <v>1272</v>
      </c>
      <c r="G18" s="22" t="n">
        <f aca="false">D18/1000</f>
        <v>4.503</v>
      </c>
      <c r="H18" s="22" t="n">
        <f aca="false">E18/1000</f>
        <v>1.553</v>
      </c>
      <c r="I18" s="23" t="n">
        <f aca="false">IFERROR(D18/F18,"")</f>
        <v>3.54009433962264</v>
      </c>
      <c r="J18" s="24"/>
    </row>
    <row r="19" customFormat="false" ht="15" hidden="false" customHeight="false" outlineLevel="0" collapsed="false">
      <c r="A19" s="18" t="s">
        <v>26</v>
      </c>
      <c r="B19" s="19" t="n">
        <v>136.31</v>
      </c>
      <c r="C19" s="20" t="n">
        <v>4890</v>
      </c>
      <c r="D19" s="21" t="n">
        <v>4310</v>
      </c>
      <c r="E19" s="21" t="n">
        <v>1941</v>
      </c>
      <c r="F19" s="21" t="n">
        <v>1018</v>
      </c>
      <c r="G19" s="22" t="n">
        <f aca="false">D19/1000</f>
        <v>4.31</v>
      </c>
      <c r="H19" s="22" t="n">
        <f aca="false">E19/1000</f>
        <v>1.941</v>
      </c>
      <c r="I19" s="23" t="n">
        <f aca="false">IFERROR(D19/F19,"")</f>
        <v>4.23379174852652</v>
      </c>
      <c r="J19" s="24"/>
    </row>
    <row r="20" customFormat="false" ht="15" hidden="false" customHeight="false" outlineLevel="0" collapsed="false">
      <c r="A20" s="18" t="s">
        <v>27</v>
      </c>
      <c r="B20" s="19" t="n">
        <v>200.1</v>
      </c>
      <c r="C20" s="20" t="n">
        <v>5875</v>
      </c>
      <c r="D20" s="21" t="n">
        <v>4155</v>
      </c>
      <c r="E20" s="21" t="n">
        <v>1553</v>
      </c>
      <c r="F20" s="21" t="n">
        <v>1280</v>
      </c>
      <c r="G20" s="22" t="n">
        <f aca="false">D20/1000</f>
        <v>4.155</v>
      </c>
      <c r="H20" s="22" t="n">
        <f aca="false">E20/1000</f>
        <v>1.553</v>
      </c>
      <c r="I20" s="23" t="n">
        <f aca="false">IFERROR(D20/F20,"")</f>
        <v>3.24609375</v>
      </c>
      <c r="J20" s="24"/>
    </row>
    <row r="21" customFormat="false" ht="15" hidden="false" customHeight="false" outlineLevel="0" collapsed="false">
      <c r="A21" s="18" t="s">
        <v>28</v>
      </c>
      <c r="B21" s="19" t="n">
        <v>148.24</v>
      </c>
      <c r="C21" s="20" t="n">
        <v>4904</v>
      </c>
      <c r="D21" s="21" t="n">
        <v>3677</v>
      </c>
      <c r="E21" s="21" t="n">
        <v>1237</v>
      </c>
      <c r="F21" s="21" t="n">
        <v>1045</v>
      </c>
      <c r="G21" s="22" t="n">
        <f aca="false">D21/1000</f>
        <v>3.677</v>
      </c>
      <c r="H21" s="22" t="n">
        <f aca="false">E21/1000</f>
        <v>1.237</v>
      </c>
      <c r="I21" s="23" t="n">
        <f aca="false">IFERROR(D21/F21,"")</f>
        <v>3.51866028708134</v>
      </c>
      <c r="J21" s="24"/>
    </row>
    <row r="22" customFormat="false" ht="15" hidden="false" customHeight="false" outlineLevel="0" collapsed="false">
      <c r="A22" s="18" t="s">
        <v>29</v>
      </c>
      <c r="B22" s="19" t="n">
        <v>181.52</v>
      </c>
      <c r="C22" s="20" t="n">
        <v>7622</v>
      </c>
      <c r="D22" s="21" t="n">
        <v>3484</v>
      </c>
      <c r="E22" s="21" t="n">
        <v>679</v>
      </c>
      <c r="F22" s="21" t="n">
        <v>258</v>
      </c>
      <c r="G22" s="22" t="n">
        <f aca="false">D22/1000</f>
        <v>3.484</v>
      </c>
      <c r="H22" s="22" t="n">
        <f aca="false">E22/1000</f>
        <v>0.679</v>
      </c>
      <c r="I22" s="23" t="n">
        <f aca="false">IFERROR(D22/F22,"")</f>
        <v>13.5038759689922</v>
      </c>
      <c r="J22" s="24"/>
    </row>
    <row r="23" customFormat="false" ht="15" hidden="false" customHeight="false" outlineLevel="0" collapsed="false">
      <c r="A23" s="18" t="s">
        <v>30</v>
      </c>
      <c r="B23" s="19" t="n">
        <v>115.16</v>
      </c>
      <c r="C23" s="20" t="n">
        <v>4391</v>
      </c>
      <c r="D23" s="21" t="n">
        <v>3403</v>
      </c>
      <c r="E23" s="21" t="n">
        <v>1235</v>
      </c>
      <c r="F23" s="21" t="n">
        <v>1059</v>
      </c>
      <c r="G23" s="22" t="n">
        <f aca="false">D23/1000</f>
        <v>3.403</v>
      </c>
      <c r="H23" s="22" t="n">
        <f aca="false">E23/1000</f>
        <v>1.235</v>
      </c>
      <c r="I23" s="23" t="n">
        <f aca="false">IFERROR(D23/F23,"")</f>
        <v>3.21340887629839</v>
      </c>
      <c r="J23" s="24"/>
    </row>
    <row r="24" customFormat="false" ht="15" hidden="false" customHeight="false" outlineLevel="0" collapsed="false">
      <c r="A24" s="18" t="s">
        <v>31</v>
      </c>
      <c r="B24" s="19" t="n">
        <v>56.86</v>
      </c>
      <c r="C24" s="20" t="n">
        <v>4026</v>
      </c>
      <c r="D24" s="21" t="n">
        <v>3126</v>
      </c>
      <c r="E24" s="21" t="n">
        <v>1247</v>
      </c>
      <c r="F24" s="21" t="n">
        <v>308</v>
      </c>
      <c r="G24" s="22" t="n">
        <f aca="false">D24/1000</f>
        <v>3.126</v>
      </c>
      <c r="H24" s="22" t="n">
        <f aca="false">E24/1000</f>
        <v>1.247</v>
      </c>
      <c r="I24" s="23" t="n">
        <f aca="false">IFERROR(D24/F24,"")</f>
        <v>10.1493506493507</v>
      </c>
      <c r="J24" s="24"/>
    </row>
    <row r="25" customFormat="false" ht="15" hidden="false" customHeight="false" outlineLevel="0" collapsed="false">
      <c r="A25" s="18" t="s">
        <v>32</v>
      </c>
      <c r="B25" s="19" t="n">
        <v>171.85</v>
      </c>
      <c r="C25" s="20" t="n">
        <v>5764</v>
      </c>
      <c r="D25" s="21" t="n">
        <v>3033</v>
      </c>
      <c r="E25" s="21" t="n">
        <v>155</v>
      </c>
      <c r="F25" s="21" t="n">
        <v>154</v>
      </c>
      <c r="G25" s="22" t="n">
        <f aca="false">D25/1000</f>
        <v>3.033</v>
      </c>
      <c r="H25" s="22" t="n">
        <f aca="false">E25/1000</f>
        <v>0.155</v>
      </c>
      <c r="I25" s="23" t="n">
        <f aca="false">IFERROR(D25/F25,"")</f>
        <v>19.6948051948052</v>
      </c>
      <c r="J25" s="24"/>
    </row>
    <row r="26" customFormat="false" ht="15" hidden="false" customHeight="false" outlineLevel="0" collapsed="false">
      <c r="A26" s="18" t="s">
        <v>33</v>
      </c>
      <c r="B26" s="19" t="n">
        <v>113.44</v>
      </c>
      <c r="C26" s="20" t="n">
        <v>4389</v>
      </c>
      <c r="D26" s="21" t="n">
        <v>2834</v>
      </c>
      <c r="E26" s="21" t="n">
        <v>652</v>
      </c>
      <c r="F26" s="21" t="n">
        <v>240</v>
      </c>
      <c r="G26" s="22" t="n">
        <f aca="false">D26/1000</f>
        <v>2.834</v>
      </c>
      <c r="H26" s="22" t="n">
        <f aca="false">E26/1000</f>
        <v>0.652</v>
      </c>
      <c r="I26" s="23" t="n">
        <f aca="false">IFERROR(D26/F26,"")</f>
        <v>11.8083333333333</v>
      </c>
      <c r="J26" s="24"/>
    </row>
    <row r="27" customFormat="false" ht="15" hidden="false" customHeight="false" outlineLevel="0" collapsed="false">
      <c r="A27" s="18" t="s">
        <v>34</v>
      </c>
      <c r="B27" s="19" t="n">
        <v>70.63</v>
      </c>
      <c r="C27" s="20" t="n">
        <v>4030</v>
      </c>
      <c r="D27" s="21" t="n">
        <v>2748</v>
      </c>
      <c r="E27" s="21" t="n">
        <v>763</v>
      </c>
      <c r="F27" s="21" t="n">
        <v>591</v>
      </c>
      <c r="G27" s="22" t="n">
        <f aca="false">D27/1000</f>
        <v>2.748</v>
      </c>
      <c r="H27" s="22" t="n">
        <f aca="false">E27/1000</f>
        <v>0.763</v>
      </c>
      <c r="I27" s="23" t="n">
        <f aca="false">IFERROR(D27/F27,"")</f>
        <v>4.6497461928934</v>
      </c>
      <c r="J27" s="24"/>
    </row>
    <row r="28" customFormat="false" ht="15" hidden="false" customHeight="false" outlineLevel="0" collapsed="false">
      <c r="A28" s="18" t="s">
        <v>35</v>
      </c>
      <c r="B28" s="19" t="n">
        <v>94.93</v>
      </c>
      <c r="C28" s="20" t="n">
        <v>4729</v>
      </c>
      <c r="D28" s="21" t="n">
        <v>2542</v>
      </c>
      <c r="E28" s="21" t="n">
        <v>180</v>
      </c>
      <c r="F28" s="21" t="n">
        <v>179</v>
      </c>
      <c r="G28" s="22" t="n">
        <f aca="false">D28/1000</f>
        <v>2.542</v>
      </c>
      <c r="H28" s="22" t="n">
        <f aca="false">E28/1000</f>
        <v>0.18</v>
      </c>
      <c r="I28" s="23" t="n">
        <f aca="false">IFERROR(D28/F28,"")</f>
        <v>14.2011173184358</v>
      </c>
      <c r="J28" s="24"/>
    </row>
    <row r="30" customFormat="false" ht="15" hidden="false" customHeight="false" outlineLevel="0" collapsed="false">
      <c r="A30" s="25" t="s">
        <v>36</v>
      </c>
      <c r="B30" s="26" t="n">
        <f aca="false">SUM(B5:B28)</f>
        <v>3174.74</v>
      </c>
      <c r="D30" s="27" t="n">
        <f aca="false">MAX(IFERROR(D5:D28*1,0))</f>
        <v>0</v>
      </c>
      <c r="G30" s="28" t="n">
        <f aca="false">IFERROR(MAX(G5:G28),"")</f>
        <v>7.675</v>
      </c>
      <c r="I30" s="29" t="n">
        <f aca="false">IFERROR(AVERAGE(I5:I28),"")</f>
        <v>5.10667193367758</v>
      </c>
    </row>
    <row r="31" customFormat="false" ht="15" hidden="false" customHeight="false" outlineLevel="0" collapsed="false">
      <c r="A31" s="30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5"/>
  </cols>
  <sheetData>
    <row r="1" customFormat="false" ht="16.15" hidden="false" customHeight="false" outlineLevel="0" collapsed="false">
      <c r="A1" s="31" t="s">
        <v>38</v>
      </c>
    </row>
    <row r="3" customFormat="false" ht="30" hidden="false" customHeight="true" outlineLevel="0" collapsed="false">
      <c r="A3" s="32" t="s">
        <v>39</v>
      </c>
      <c r="B3" s="33" t="s">
        <v>40</v>
      </c>
    </row>
    <row r="4" customFormat="false" ht="30" hidden="false" customHeight="true" outlineLevel="0" collapsed="false">
      <c r="A4" s="32" t="s">
        <v>41</v>
      </c>
      <c r="B4" s="33" t="s">
        <v>42</v>
      </c>
    </row>
    <row r="5" customFormat="false" ht="30" hidden="false" customHeight="true" outlineLevel="0" collapsed="false">
      <c r="A5" s="32" t="s">
        <v>43</v>
      </c>
      <c r="B5" s="33" t="s">
        <v>44</v>
      </c>
    </row>
    <row r="6" customFormat="false" ht="30" hidden="false" customHeight="true" outlineLevel="0" collapsed="false">
      <c r="A6" s="32" t="s">
        <v>45</v>
      </c>
      <c r="B6" s="33" t="s">
        <v>46</v>
      </c>
    </row>
    <row r="7" customFormat="false" ht="30" hidden="false" customHeight="true" outlineLevel="0" collapsed="false">
      <c r="A7" s="32" t="s">
        <v>47</v>
      </c>
      <c r="B7" s="33" t="s">
        <v>48</v>
      </c>
    </row>
    <row r="8" customFormat="false" ht="30" hidden="false" customHeight="true" outlineLevel="0" collapsed="false">
      <c r="A8" s="32" t="s">
        <v>49</v>
      </c>
      <c r="B8" s="33" t="s">
        <v>50</v>
      </c>
    </row>
    <row r="9" customFormat="false" ht="30" hidden="false" customHeight="true" outlineLevel="0" collapsed="false">
      <c r="A9" s="32" t="s">
        <v>51</v>
      </c>
      <c r="B9" s="33" t="s">
        <v>52</v>
      </c>
    </row>
    <row r="10" customFormat="false" ht="30" hidden="false" customHeight="true" outlineLevel="0" collapsed="false">
      <c r="A10" s="32" t="s">
        <v>53</v>
      </c>
      <c r="B10" s="33" t="s">
        <v>54</v>
      </c>
    </row>
    <row r="11" customFormat="false" ht="30" hidden="false" customHeight="true" outlineLevel="0" collapsed="false">
      <c r="A11" s="32" t="s">
        <v>55</v>
      </c>
      <c r="B11" s="33" t="s">
        <v>56</v>
      </c>
    </row>
    <row r="12" customFormat="false" ht="30" hidden="false" customHeight="true" outlineLevel="0" collapsed="false">
      <c r="A12" s="32" t="s">
        <v>57</v>
      </c>
      <c r="B12" s="33" t="s">
        <v>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2026-09-14T12:32:20Z</dcterms:created>
  <dc:creator>openpyxl</dc:creator>
  <dc:description/>
  <dc:language>en-US</dc:language>
  <cp:lastModifiedBy/>
  <dcterms:modified xsi:type="dcterms:W3CDTF">2026-09-14T12:32:20Z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