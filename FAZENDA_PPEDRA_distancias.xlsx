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âncias" sheetId="1" state="visible" r:id="rId3"/>
    <sheet name="Premiss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<sst xmlns="http://schemas.openxmlformats.org/spreadsheetml/2006/main" count="86" uniqueCount="86">
  <si>
    <t xml:space="preserve">FAZENDA P.PEDRA — distância dos talhões até a sede</t>
  </si>
  <si>
    <t xml:space="preserve">Percurso pelas estradas/carreadores, até o ponto mais extremo do talhão.</t>
  </si>
  <si>
    <t xml:space="preserve">Talhão</t>
  </si>
  <si>
    <t xml:space="preserve">Área (ha)</t>
  </si>
  <si>
    <t xml:space="preserve">Perímetro (m)</t>
  </si>
  <si>
    <t xml:space="preserve">Dist. máxima (m)</t>
  </si>
  <si>
    <t xml:space="preserve">Dist. mínima (m)</t>
  </si>
  <si>
    <t xml:space="preserve">Linha reta (m)</t>
  </si>
  <si>
    <t xml:space="preserve">Máxima (km)</t>
  </si>
  <si>
    <t xml:space="preserve">Mínima (km)</t>
  </si>
  <si>
    <t xml:space="preserve">Fator estrada/reta</t>
  </si>
  <si>
    <t xml:space="preserve">Observação</t>
  </si>
  <si>
    <t xml:space="preserve">T-05B</t>
  </si>
  <si>
    <t xml:space="preserve">T-17</t>
  </si>
  <si>
    <t xml:space="preserve">T-05A</t>
  </si>
  <si>
    <t xml:space="preserve">T-05S</t>
  </si>
  <si>
    <t xml:space="preserve">T-06B</t>
  </si>
  <si>
    <t xml:space="preserve">T-16B</t>
  </si>
  <si>
    <t xml:space="preserve">T37</t>
  </si>
  <si>
    <t xml:space="preserve">T-16A</t>
  </si>
  <si>
    <t xml:space="preserve">T-04</t>
  </si>
  <si>
    <t xml:space="preserve">T33</t>
  </si>
  <si>
    <t xml:space="preserve">T-15C</t>
  </si>
  <si>
    <t xml:space="preserve">T-06A</t>
  </si>
  <si>
    <t xml:space="preserve">T-24</t>
  </si>
  <si>
    <t xml:space="preserve">T38</t>
  </si>
  <si>
    <t xml:space="preserve">T-18</t>
  </si>
  <si>
    <t xml:space="preserve">T-07B</t>
  </si>
  <si>
    <t xml:space="preserve">T34</t>
  </si>
  <si>
    <t xml:space="preserve">T-07A</t>
  </si>
  <si>
    <t xml:space="preserve">T-15B</t>
  </si>
  <si>
    <t xml:space="preserve">T-19</t>
  </si>
  <si>
    <t xml:space="preserve">T31</t>
  </si>
  <si>
    <t xml:space="preserve">T-03</t>
  </si>
  <si>
    <t xml:space="preserve">T-15A</t>
  </si>
  <si>
    <t xml:space="preserve">T-14</t>
  </si>
  <si>
    <t xml:space="preserve">T-08</t>
  </si>
  <si>
    <t xml:space="preserve">T-02</t>
  </si>
  <si>
    <t xml:space="preserve">T30</t>
  </si>
  <si>
    <t xml:space="preserve">T-23</t>
  </si>
  <si>
    <t xml:space="preserve">T-09</t>
  </si>
  <si>
    <t xml:space="preserve">T-13</t>
  </si>
  <si>
    <t xml:space="preserve">T-01C</t>
  </si>
  <si>
    <t xml:space="preserve">T-22</t>
  </si>
  <si>
    <t xml:space="preserve">T-22A</t>
  </si>
  <si>
    <t xml:space="preserve">T-20</t>
  </si>
  <si>
    <t xml:space="preserve">T-01B</t>
  </si>
  <si>
    <t xml:space="preserve">T-10B</t>
  </si>
  <si>
    <t xml:space="preserve">T-29</t>
  </si>
  <si>
    <t xml:space="preserve">T-01A</t>
  </si>
  <si>
    <t xml:space="preserve">T-12</t>
  </si>
  <si>
    <t xml:space="preserve">T-20S</t>
  </si>
  <si>
    <t xml:space="preserve">T-21</t>
  </si>
  <si>
    <t xml:space="preserve">T-28</t>
  </si>
  <si>
    <t xml:space="preserve">T-21A</t>
  </si>
  <si>
    <t xml:space="preserve">T-10S</t>
  </si>
  <si>
    <t xml:space="preserve">T-12S</t>
  </si>
  <si>
    <t xml:space="preserve">T-10A</t>
  </si>
  <si>
    <t xml:space="preserve">T-11</t>
  </si>
  <si>
    <t xml:space="preserve">T-25</t>
  </si>
  <si>
    <t xml:space="preserve">T-27</t>
  </si>
  <si>
    <t xml:space="preserve">T-11A</t>
  </si>
  <si>
    <t xml:space="preserve">T-26</t>
  </si>
  <si>
    <t xml:space="preserve">TOTAL / MÁXIMO</t>
  </si>
  <si>
    <t xml:space="preserve">Fundo amarelo = precisa de conferência: fator ≥ 3,0, ligação suposta, ou talhão sem estrada. Veja a coluna Observação.</t>
  </si>
  <si>
    <t xml:space="preserve">Como estes números foram calculados</t>
  </si>
  <si>
    <t xml:space="preserve">Origem</t>
  </si>
  <si>
    <t xml:space="preserve">Ponto de sede do projeto do Google Earth (-13.560205, -57.475789).</t>
  </si>
  <si>
    <t xml:space="preserve">Talhões</t>
  </si>
  <si>
    <t xml:space="preserve">51 polígonos da pasta FAZENDA P.PEDRA.</t>
  </si>
  <si>
    <t xml:space="preserve">Malha de estradas</t>
  </si>
  <si>
    <t xml:space="preserve">Divisas dos talhões (os carreadores correm nas divisas), costuradas onde talhões vizinhos são separados pela faixa do carreador (até 45 m), mais as estradas de dados/estradas_extra.json.</t>
  </si>
  <si>
    <t xml:space="preserve">Dist. máxima</t>
  </si>
  <si>
    <t xml:space="preserve">Menor caminho pela estrada, da sede até o ponto MAIS EXTREMO do perímetro do talhão. Não corta por dentro da lavoura.</t>
  </si>
  <si>
    <t xml:space="preserve">Dist. mínima</t>
  </si>
  <si>
    <t xml:space="preserve">Menor caminho pela estrada, da sede até o ponto de acesso mais próximo.</t>
  </si>
  <si>
    <t xml:space="preserve">Linha reta</t>
  </si>
  <si>
    <t xml:space="preserve">Distância em linha reta da sede até a borda do talhão. Só referência.</t>
  </si>
  <si>
    <t xml:space="preserve">Fator</t>
  </si>
  <si>
    <t xml:space="preserve">Dist. máxima ÷ linha reta. Fator alto = rota indireta, ou estrada faltando na malha.</t>
  </si>
  <si>
    <t xml:space="preserve">Coordenadas</t>
  </si>
  <si>
    <t xml:space="preserve">SIRGAS 2000 / UTM 21S (EPSG:31981) para distâncias e áreas.</t>
  </si>
  <si>
    <t xml:space="preserve">Resolução</t>
  </si>
  <si>
    <t xml:space="preserve">Malha densificada a cada 25 m — é a precisão do 'ponto mais extremo'.</t>
  </si>
  <si>
    <t xml:space="preserve">Validação</t>
  </si>
  <si>
    <t xml:space="preserve">A malha precisa ser conferida por quem roda a fazenda. Use o arquivo _bancada.html.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</si>
</sst>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#,##0"/>
    <numFmt numFmtId="167" formatCode="#,##0.00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n">
        <v>124.34</v>
      </c>
      <c r="C5" s="6" t="n">
        <v>4758</v>
      </c>
      <c r="D5" s="7" t="n">
        <v>13744</v>
      </c>
      <c r="E5" s="7" t="n">
        <v>11376</v>
      </c>
      <c r="F5" s="7" t="n">
        <v>10098</v>
      </c>
      <c r="G5" s="8" t="n">
        <f aca="false">D5/1000</f>
        <v>13.744</v>
      </c>
      <c r="H5" s="8" t="n">
        <f aca="false">E5/1000</f>
        <v>11.376</v>
      </c>
      <c r="I5" s="9" t="n">
        <f aca="false">IFERROR(D5/F5,"")</f>
        <v>1.36106159635571</v>
      </c>
      <c r="J5" s="10"/>
    </row>
    <row r="6" customFormat="false" ht="15" hidden="false" customHeight="false" outlineLevel="0" collapsed="false">
      <c r="A6" s="11" t="s">
        <v>13</v>
      </c>
      <c r="B6" s="12" t="n">
        <v>140.75</v>
      </c>
      <c r="C6" s="13" t="n">
        <v>5173</v>
      </c>
      <c r="D6" s="14" t="n">
        <v>13118</v>
      </c>
      <c r="E6" s="14" t="n">
        <v>10542</v>
      </c>
      <c r="F6" s="14" t="n">
        <v>9032</v>
      </c>
      <c r="G6" s="15" t="n">
        <f aca="false">D6/1000</f>
        <v>13.118</v>
      </c>
      <c r="H6" s="15" t="n">
        <f aca="false">E6/1000</f>
        <v>10.542</v>
      </c>
      <c r="I6" s="16" t="n">
        <f aca="false">IFERROR(D6/F6,"")</f>
        <v>1.45239149689991</v>
      </c>
      <c r="J6" s="17"/>
    </row>
    <row r="7" customFormat="false" ht="15" hidden="false" customHeight="false" outlineLevel="0" collapsed="false">
      <c r="A7" s="4" t="s">
        <v>14</v>
      </c>
      <c r="B7" s="5" t="n">
        <v>175.27</v>
      </c>
      <c r="C7" s="6" t="n">
        <v>5486</v>
      </c>
      <c r="D7" s="7" t="n">
        <v>13106</v>
      </c>
      <c r="E7" s="7" t="n">
        <v>10484</v>
      </c>
      <c r="F7" s="7" t="n">
        <v>9226</v>
      </c>
      <c r="G7" s="8" t="n">
        <f aca="false">D7/1000</f>
        <v>13.106</v>
      </c>
      <c r="H7" s="8" t="n">
        <f aca="false">E7/1000</f>
        <v>10.484</v>
      </c>
      <c r="I7" s="9" t="n">
        <f aca="false">IFERROR(D7/F7,"")</f>
        <v>1.42055061781921</v>
      </c>
      <c r="J7" s="10"/>
    </row>
    <row r="8" customFormat="false" ht="15" hidden="false" customHeight="false" outlineLevel="0" collapsed="false">
      <c r="A8" s="11" t="s">
        <v>15</v>
      </c>
      <c r="B8" s="12" t="n">
        <v>71.5</v>
      </c>
      <c r="C8" s="13" t="n">
        <v>4054</v>
      </c>
      <c r="D8" s="14" t="n">
        <v>13102</v>
      </c>
      <c r="E8" s="14" t="n">
        <v>11081</v>
      </c>
      <c r="F8" s="14" t="n">
        <v>9806</v>
      </c>
      <c r="G8" s="15" t="n">
        <f aca="false">D8/1000</f>
        <v>13.102</v>
      </c>
      <c r="H8" s="15" t="n">
        <f aca="false">E8/1000</f>
        <v>11.081</v>
      </c>
      <c r="I8" s="16" t="n">
        <f aca="false">IFERROR(D8/F8,"")</f>
        <v>1.33612074240261</v>
      </c>
      <c r="J8" s="17"/>
    </row>
    <row r="9" customFormat="false" ht="15" hidden="false" customHeight="false" outlineLevel="0" collapsed="false">
      <c r="A9" s="4" t="s">
        <v>16</v>
      </c>
      <c r="B9" s="5" t="n">
        <v>144.9</v>
      </c>
      <c r="C9" s="6" t="n">
        <v>4944</v>
      </c>
      <c r="D9" s="7" t="n">
        <v>12547</v>
      </c>
      <c r="E9" s="7" t="n">
        <v>10294</v>
      </c>
      <c r="F9" s="7" t="n">
        <v>9953</v>
      </c>
      <c r="G9" s="8" t="n">
        <f aca="false">D9/1000</f>
        <v>12.547</v>
      </c>
      <c r="H9" s="8" t="n">
        <f aca="false">E9/1000</f>
        <v>10.294</v>
      </c>
      <c r="I9" s="9" t="n">
        <f aca="false">IFERROR(D9/F9,"")</f>
        <v>1.26062493720486</v>
      </c>
      <c r="J9" s="10"/>
    </row>
    <row r="10" customFormat="false" ht="15" hidden="false" customHeight="false" outlineLevel="0" collapsed="false">
      <c r="A10" s="11" t="s">
        <v>17</v>
      </c>
      <c r="B10" s="12" t="n">
        <v>66.46</v>
      </c>
      <c r="C10" s="13" t="n">
        <v>3913</v>
      </c>
      <c r="D10" s="14" t="n">
        <v>12433</v>
      </c>
      <c r="E10" s="14" t="n">
        <v>10707</v>
      </c>
      <c r="F10" s="14" t="n">
        <v>10256</v>
      </c>
      <c r="G10" s="15" t="n">
        <f aca="false">D10/1000</f>
        <v>12.433</v>
      </c>
      <c r="H10" s="15" t="n">
        <f aca="false">E10/1000</f>
        <v>10.707</v>
      </c>
      <c r="I10" s="16" t="n">
        <f aca="false">IFERROR(D10/F10,"")</f>
        <v>1.21226599063963</v>
      </c>
      <c r="J10" s="17"/>
    </row>
    <row r="11" customFormat="false" ht="15" hidden="false" customHeight="false" outlineLevel="0" collapsed="false">
      <c r="A11" s="4" t="s">
        <v>18</v>
      </c>
      <c r="B11" s="5" t="n">
        <v>67.46</v>
      </c>
      <c r="C11" s="6" t="n">
        <v>3607</v>
      </c>
      <c r="D11" s="7" t="n">
        <v>12072</v>
      </c>
      <c r="E11" s="7" t="n">
        <v>10281</v>
      </c>
      <c r="F11" s="7" t="n">
        <v>8100</v>
      </c>
      <c r="G11" s="8" t="n">
        <f aca="false">D11/1000</f>
        <v>12.072</v>
      </c>
      <c r="H11" s="8" t="n">
        <f aca="false">E11/1000</f>
        <v>10.281</v>
      </c>
      <c r="I11" s="9" t="n">
        <f aca="false">IFERROR(D11/F11,"")</f>
        <v>1.49037037037037</v>
      </c>
      <c r="J11" s="10"/>
    </row>
    <row r="12" customFormat="false" ht="15" hidden="false" customHeight="false" outlineLevel="0" collapsed="false">
      <c r="A12" s="11" t="s">
        <v>19</v>
      </c>
      <c r="B12" s="12" t="n">
        <v>56.03</v>
      </c>
      <c r="C12" s="13" t="n">
        <v>3746</v>
      </c>
      <c r="D12" s="14" t="n">
        <v>11982</v>
      </c>
      <c r="E12" s="14" t="n">
        <v>10297</v>
      </c>
      <c r="F12" s="14" t="n">
        <v>9900</v>
      </c>
      <c r="G12" s="15" t="n">
        <f aca="false">D12/1000</f>
        <v>11.982</v>
      </c>
      <c r="H12" s="15" t="n">
        <f aca="false">E12/1000</f>
        <v>10.297</v>
      </c>
      <c r="I12" s="16" t="n">
        <f aca="false">IFERROR(D12/F12,"")</f>
        <v>1.21030303030303</v>
      </c>
      <c r="J12" s="17"/>
    </row>
    <row r="13" customFormat="false" ht="15" hidden="false" customHeight="false" outlineLevel="0" collapsed="false">
      <c r="A13" s="4" t="s">
        <v>20</v>
      </c>
      <c r="B13" s="5" t="n">
        <v>302.63</v>
      </c>
      <c r="C13" s="6" t="n">
        <v>7372</v>
      </c>
      <c r="D13" s="7" t="n">
        <v>11974</v>
      </c>
      <c r="E13" s="7" t="n">
        <v>8397</v>
      </c>
      <c r="F13" s="7" t="n">
        <v>7210</v>
      </c>
      <c r="G13" s="8" t="n">
        <f aca="false">D13/1000</f>
        <v>11.974</v>
      </c>
      <c r="H13" s="8" t="n">
        <f aca="false">E13/1000</f>
        <v>8.397</v>
      </c>
      <c r="I13" s="9" t="n">
        <f aca="false">IFERROR(D13/F13,"")</f>
        <v>1.66074895977809</v>
      </c>
      <c r="J13" s="10"/>
    </row>
    <row r="14" customFormat="false" ht="15" hidden="false" customHeight="false" outlineLevel="0" collapsed="false">
      <c r="A14" s="11" t="s">
        <v>21</v>
      </c>
      <c r="B14" s="12" t="n">
        <v>149.61</v>
      </c>
      <c r="C14" s="13" t="n">
        <v>5003</v>
      </c>
      <c r="D14" s="14" t="n">
        <v>11744</v>
      </c>
      <c r="E14" s="14" t="n">
        <v>9517</v>
      </c>
      <c r="F14" s="14" t="n">
        <v>7372</v>
      </c>
      <c r="G14" s="15" t="n">
        <f aca="false">D14/1000</f>
        <v>11.744</v>
      </c>
      <c r="H14" s="15" t="n">
        <f aca="false">E14/1000</f>
        <v>9.517</v>
      </c>
      <c r="I14" s="16" t="n">
        <f aca="false">IFERROR(D14/F14,"")</f>
        <v>1.59305480195334</v>
      </c>
      <c r="J14" s="17"/>
    </row>
    <row r="15" customFormat="false" ht="15" hidden="false" customHeight="false" outlineLevel="0" collapsed="false">
      <c r="A15" s="4" t="s">
        <v>22</v>
      </c>
      <c r="B15" s="5" t="n">
        <v>136.18</v>
      </c>
      <c r="C15" s="6" t="n">
        <v>4817</v>
      </c>
      <c r="D15" s="7" t="n">
        <v>11598</v>
      </c>
      <c r="E15" s="7" t="n">
        <v>9355</v>
      </c>
      <c r="F15" s="7" t="n">
        <v>8991</v>
      </c>
      <c r="G15" s="8" t="n">
        <f aca="false">D15/1000</f>
        <v>11.598</v>
      </c>
      <c r="H15" s="8" t="n">
        <f aca="false">E15/1000</f>
        <v>9.355</v>
      </c>
      <c r="I15" s="9" t="n">
        <f aca="false">IFERROR(D15/F15,"")</f>
        <v>1.28995662328996</v>
      </c>
      <c r="J15" s="10"/>
    </row>
    <row r="16" customFormat="false" ht="15" hidden="false" customHeight="false" outlineLevel="0" collapsed="false">
      <c r="A16" s="11" t="s">
        <v>23</v>
      </c>
      <c r="B16" s="12" t="n">
        <v>132.93</v>
      </c>
      <c r="C16" s="13" t="n">
        <v>4758</v>
      </c>
      <c r="D16" s="14" t="n">
        <v>11549</v>
      </c>
      <c r="E16" s="14" t="n">
        <v>9342</v>
      </c>
      <c r="F16" s="14" t="n">
        <v>9006</v>
      </c>
      <c r="G16" s="15" t="n">
        <f aca="false">D16/1000</f>
        <v>11.549</v>
      </c>
      <c r="H16" s="15" t="n">
        <f aca="false">E16/1000</f>
        <v>9.342</v>
      </c>
      <c r="I16" s="16" t="n">
        <f aca="false">IFERROR(D16/F16,"")</f>
        <v>1.28236731068177</v>
      </c>
      <c r="J16" s="17"/>
    </row>
    <row r="17" customFormat="false" ht="15" hidden="false" customHeight="false" outlineLevel="0" collapsed="false">
      <c r="A17" s="4" t="s">
        <v>24</v>
      </c>
      <c r="B17" s="5" t="n">
        <v>83.32</v>
      </c>
      <c r="C17" s="6" t="n">
        <v>3691</v>
      </c>
      <c r="D17" s="7" t="n">
        <v>11443</v>
      </c>
      <c r="E17" s="7" t="n">
        <v>9772</v>
      </c>
      <c r="F17" s="7" t="n">
        <v>7315</v>
      </c>
      <c r="G17" s="8" t="n">
        <f aca="false">D17/1000</f>
        <v>11.443</v>
      </c>
      <c r="H17" s="8" t="n">
        <f aca="false">E17/1000</f>
        <v>9.772</v>
      </c>
      <c r="I17" s="9" t="n">
        <f aca="false">IFERROR(D17/F17,"")</f>
        <v>1.56431989063568</v>
      </c>
      <c r="J17" s="10"/>
    </row>
    <row r="18" customFormat="false" ht="15" hidden="false" customHeight="false" outlineLevel="0" collapsed="false">
      <c r="A18" s="11" t="s">
        <v>25</v>
      </c>
      <c r="B18" s="12" t="n">
        <v>140.69</v>
      </c>
      <c r="C18" s="13" t="n">
        <v>4981</v>
      </c>
      <c r="D18" s="14" t="n">
        <v>11356</v>
      </c>
      <c r="E18" s="14" t="n">
        <v>8884</v>
      </c>
      <c r="F18" s="14" t="n">
        <v>6809</v>
      </c>
      <c r="G18" s="15" t="n">
        <f aca="false">D18/1000</f>
        <v>11.356</v>
      </c>
      <c r="H18" s="15" t="n">
        <f aca="false">E18/1000</f>
        <v>8.884</v>
      </c>
      <c r="I18" s="16" t="n">
        <f aca="false">IFERROR(D18/F18,"")</f>
        <v>1.66779262740491</v>
      </c>
      <c r="J18" s="17"/>
    </row>
    <row r="19" customFormat="false" ht="15" hidden="false" customHeight="false" outlineLevel="0" collapsed="false">
      <c r="A19" s="4" t="s">
        <v>26</v>
      </c>
      <c r="B19" s="5" t="n">
        <v>115.23</v>
      </c>
      <c r="C19" s="6" t="n">
        <v>4528</v>
      </c>
      <c r="D19" s="7" t="n">
        <v>10706</v>
      </c>
      <c r="E19" s="7" t="n">
        <v>8455</v>
      </c>
      <c r="F19" s="7" t="n">
        <v>6961</v>
      </c>
      <c r="G19" s="8" t="n">
        <f aca="false">D19/1000</f>
        <v>10.706</v>
      </c>
      <c r="H19" s="8" t="n">
        <f aca="false">E19/1000</f>
        <v>8.455</v>
      </c>
      <c r="I19" s="9" t="n">
        <f aca="false">IFERROR(D19/F19,"")</f>
        <v>1.53799741416463</v>
      </c>
      <c r="J19" s="10"/>
    </row>
    <row r="20" customFormat="false" ht="15" hidden="false" customHeight="false" outlineLevel="0" collapsed="false">
      <c r="A20" s="11" t="s">
        <v>27</v>
      </c>
      <c r="B20" s="12" t="n">
        <v>53.96</v>
      </c>
      <c r="C20" s="13" t="n">
        <v>3674</v>
      </c>
      <c r="D20" s="14" t="n">
        <v>10628</v>
      </c>
      <c r="E20" s="14" t="n">
        <v>8967</v>
      </c>
      <c r="F20" s="14" t="n">
        <v>8626</v>
      </c>
      <c r="G20" s="15" t="n">
        <f aca="false">D20/1000</f>
        <v>10.628</v>
      </c>
      <c r="H20" s="15" t="n">
        <f aca="false">E20/1000</f>
        <v>8.967</v>
      </c>
      <c r="I20" s="16" t="n">
        <f aca="false">IFERROR(D20/F20,"")</f>
        <v>1.23208903315558</v>
      </c>
      <c r="J20" s="17"/>
    </row>
    <row r="21" customFormat="false" ht="15" hidden="false" customHeight="false" outlineLevel="0" collapsed="false">
      <c r="A21" s="4" t="s">
        <v>28</v>
      </c>
      <c r="B21" s="5" t="n">
        <v>131.51</v>
      </c>
      <c r="C21" s="6" t="n">
        <v>4710</v>
      </c>
      <c r="D21" s="7" t="n">
        <v>10530</v>
      </c>
      <c r="E21" s="7" t="n">
        <v>8172</v>
      </c>
      <c r="F21" s="7" t="n">
        <v>6345</v>
      </c>
      <c r="G21" s="8" t="n">
        <f aca="false">D21/1000</f>
        <v>10.53</v>
      </c>
      <c r="H21" s="8" t="n">
        <f aca="false">E21/1000</f>
        <v>8.172</v>
      </c>
      <c r="I21" s="9" t="n">
        <f aca="false">IFERROR(D21/F21,"")</f>
        <v>1.65957446808511</v>
      </c>
      <c r="J21" s="10"/>
    </row>
    <row r="22" customFormat="false" ht="15" hidden="false" customHeight="false" outlineLevel="0" collapsed="false">
      <c r="A22" s="11" t="s">
        <v>29</v>
      </c>
      <c r="B22" s="12" t="n">
        <v>254.67</v>
      </c>
      <c r="C22" s="13" t="n">
        <v>6809</v>
      </c>
      <c r="D22" s="14" t="n">
        <v>10260</v>
      </c>
      <c r="E22" s="14" t="n">
        <v>7258</v>
      </c>
      <c r="F22" s="14" t="n">
        <v>6925</v>
      </c>
      <c r="G22" s="15" t="n">
        <f aca="false">D22/1000</f>
        <v>10.26</v>
      </c>
      <c r="H22" s="15" t="n">
        <f aca="false">E22/1000</f>
        <v>7.258</v>
      </c>
      <c r="I22" s="16" t="n">
        <f aca="false">IFERROR(D22/F22,"")</f>
        <v>1.48158844765343</v>
      </c>
      <c r="J22" s="17"/>
    </row>
    <row r="23" customFormat="false" ht="15" hidden="false" customHeight="false" outlineLevel="0" collapsed="false">
      <c r="A23" s="4" t="s">
        <v>30</v>
      </c>
      <c r="B23" s="5" t="n">
        <v>80.43</v>
      </c>
      <c r="C23" s="6" t="n">
        <v>4103</v>
      </c>
      <c r="D23" s="7" t="n">
        <v>10258</v>
      </c>
      <c r="E23" s="7" t="n">
        <v>8464</v>
      </c>
      <c r="F23" s="7" t="n">
        <v>7999</v>
      </c>
      <c r="G23" s="8" t="n">
        <f aca="false">D23/1000</f>
        <v>10.258</v>
      </c>
      <c r="H23" s="8" t="n">
        <f aca="false">E23/1000</f>
        <v>8.464</v>
      </c>
      <c r="I23" s="9" t="n">
        <f aca="false">IFERROR(D23/F23,"")</f>
        <v>1.28241030128766</v>
      </c>
      <c r="J23" s="10"/>
    </row>
    <row r="24" customFormat="false" ht="15" hidden="false" customHeight="false" outlineLevel="0" collapsed="false">
      <c r="A24" s="11" t="s">
        <v>31</v>
      </c>
      <c r="B24" s="12" t="n">
        <v>150.72</v>
      </c>
      <c r="C24" s="13" t="n">
        <v>5638</v>
      </c>
      <c r="D24" s="14" t="n">
        <v>10084</v>
      </c>
      <c r="E24" s="14" t="n">
        <v>7284</v>
      </c>
      <c r="F24" s="14" t="n">
        <v>5766</v>
      </c>
      <c r="G24" s="15" t="n">
        <f aca="false">D24/1000</f>
        <v>10.084</v>
      </c>
      <c r="H24" s="15" t="n">
        <f aca="false">E24/1000</f>
        <v>7.284</v>
      </c>
      <c r="I24" s="16" t="n">
        <f aca="false">IFERROR(D24/F24,"")</f>
        <v>1.74887270204648</v>
      </c>
      <c r="J24" s="17"/>
    </row>
    <row r="25" customFormat="false" ht="15" hidden="false" customHeight="false" outlineLevel="0" collapsed="false">
      <c r="A25" s="4" t="s">
        <v>32</v>
      </c>
      <c r="B25" s="5" t="n">
        <v>239.17</v>
      </c>
      <c r="C25" s="6" t="n">
        <v>6359</v>
      </c>
      <c r="D25" s="7" t="n">
        <v>10073</v>
      </c>
      <c r="E25" s="7" t="n">
        <v>6907</v>
      </c>
      <c r="F25" s="7" t="n">
        <v>6454</v>
      </c>
      <c r="G25" s="8" t="n">
        <f aca="false">D25/1000</f>
        <v>10.073</v>
      </c>
      <c r="H25" s="8" t="n">
        <f aca="false">E25/1000</f>
        <v>6.907</v>
      </c>
      <c r="I25" s="9" t="n">
        <f aca="false">IFERROR(D25/F25,"")</f>
        <v>1.56073752711497</v>
      </c>
      <c r="J25" s="10"/>
    </row>
    <row r="26" customFormat="false" ht="15" hidden="false" customHeight="false" outlineLevel="0" collapsed="false">
      <c r="A26" s="11" t="s">
        <v>33</v>
      </c>
      <c r="B26" s="12" t="n">
        <v>278.49</v>
      </c>
      <c r="C26" s="13" t="n">
        <v>7339</v>
      </c>
      <c r="D26" s="14" t="n">
        <v>9933</v>
      </c>
      <c r="E26" s="14" t="n">
        <v>6394</v>
      </c>
      <c r="F26" s="14" t="n">
        <v>5324</v>
      </c>
      <c r="G26" s="15" t="n">
        <f aca="false">D26/1000</f>
        <v>9.933</v>
      </c>
      <c r="H26" s="15" t="n">
        <f aca="false">E26/1000</f>
        <v>6.394</v>
      </c>
      <c r="I26" s="16" t="n">
        <f aca="false">IFERROR(D26/F26,"")</f>
        <v>1.86570247933884</v>
      </c>
      <c r="J26" s="17"/>
    </row>
    <row r="27" customFormat="false" ht="15" hidden="false" customHeight="false" outlineLevel="0" collapsed="false">
      <c r="A27" s="4" t="s">
        <v>34</v>
      </c>
      <c r="B27" s="5" t="n">
        <v>169.72</v>
      </c>
      <c r="C27" s="6" t="n">
        <v>5278</v>
      </c>
      <c r="D27" s="7" t="n">
        <v>9733</v>
      </c>
      <c r="E27" s="7" t="n">
        <v>7258</v>
      </c>
      <c r="F27" s="7" t="n">
        <v>6900</v>
      </c>
      <c r="G27" s="8" t="n">
        <f aca="false">D27/1000</f>
        <v>9.733</v>
      </c>
      <c r="H27" s="8" t="n">
        <f aca="false">E27/1000</f>
        <v>7.258</v>
      </c>
      <c r="I27" s="9" t="n">
        <f aca="false">IFERROR(D27/F27,"")</f>
        <v>1.41057971014493</v>
      </c>
      <c r="J27" s="10"/>
    </row>
    <row r="28" customFormat="false" ht="15" hidden="false" customHeight="false" outlineLevel="0" collapsed="false">
      <c r="A28" s="11" t="s">
        <v>35</v>
      </c>
      <c r="B28" s="12" t="n">
        <v>270.48</v>
      </c>
      <c r="C28" s="13" t="n">
        <v>6729</v>
      </c>
      <c r="D28" s="14" t="n">
        <v>8605</v>
      </c>
      <c r="E28" s="14" t="n">
        <v>5253</v>
      </c>
      <c r="F28" s="14" t="n">
        <v>4896</v>
      </c>
      <c r="G28" s="15" t="n">
        <f aca="false">D28/1000</f>
        <v>8.605</v>
      </c>
      <c r="H28" s="15" t="n">
        <f aca="false">E28/1000</f>
        <v>5.253</v>
      </c>
      <c r="I28" s="16" t="n">
        <f aca="false">IFERROR(D28/F28,"")</f>
        <v>1.75755718954248</v>
      </c>
      <c r="J28" s="17"/>
    </row>
    <row r="29" customFormat="false" ht="15" hidden="false" customHeight="false" outlineLevel="0" collapsed="false">
      <c r="A29" s="4" t="s">
        <v>36</v>
      </c>
      <c r="B29" s="5" t="n">
        <v>300.64</v>
      </c>
      <c r="C29" s="6" t="n">
        <v>7008</v>
      </c>
      <c r="D29" s="7" t="n">
        <v>8572</v>
      </c>
      <c r="E29" s="7" t="n">
        <v>5253</v>
      </c>
      <c r="F29" s="7" t="n">
        <v>4931</v>
      </c>
      <c r="G29" s="8" t="n">
        <f aca="false">D29/1000</f>
        <v>8.572</v>
      </c>
      <c r="H29" s="8" t="n">
        <f aca="false">E29/1000</f>
        <v>5.253</v>
      </c>
      <c r="I29" s="9" t="n">
        <f aca="false">IFERROR(D29/F29,"")</f>
        <v>1.7383897789495</v>
      </c>
      <c r="J29" s="10"/>
    </row>
    <row r="30" customFormat="false" ht="15" hidden="false" customHeight="false" outlineLevel="0" collapsed="false">
      <c r="A30" s="11" t="s">
        <v>37</v>
      </c>
      <c r="B30" s="12" t="n">
        <v>299.8</v>
      </c>
      <c r="C30" s="13" t="n">
        <v>7001</v>
      </c>
      <c r="D30" s="14" t="n">
        <v>7886</v>
      </c>
      <c r="E30" s="14" t="n">
        <v>4386</v>
      </c>
      <c r="F30" s="14" t="n">
        <v>3565</v>
      </c>
      <c r="G30" s="15" t="n">
        <f aca="false">D30/1000</f>
        <v>7.886</v>
      </c>
      <c r="H30" s="15" t="n">
        <f aca="false">E30/1000</f>
        <v>4.386</v>
      </c>
      <c r="I30" s="16" t="n">
        <f aca="false">IFERROR(D30/F30,"")</f>
        <v>2.21206171107994</v>
      </c>
      <c r="J30" s="17"/>
    </row>
    <row r="31" customFormat="false" ht="15" hidden="false" customHeight="false" outlineLevel="0" collapsed="false">
      <c r="A31" s="4" t="s">
        <v>38</v>
      </c>
      <c r="B31" s="5" t="n">
        <v>43.67</v>
      </c>
      <c r="C31" s="6" t="n">
        <v>3710</v>
      </c>
      <c r="D31" s="7" t="n">
        <v>7323</v>
      </c>
      <c r="E31" s="7" t="n">
        <v>5495</v>
      </c>
      <c r="F31" s="7" t="n">
        <v>5086</v>
      </c>
      <c r="G31" s="8" t="n">
        <f aca="false">D31/1000</f>
        <v>7.323</v>
      </c>
      <c r="H31" s="8" t="n">
        <f aca="false">E31/1000</f>
        <v>5.495</v>
      </c>
      <c r="I31" s="9" t="n">
        <f aca="false">IFERROR(D31/F31,"")</f>
        <v>1.43983484073928</v>
      </c>
      <c r="J31" s="10"/>
    </row>
    <row r="32" customFormat="false" ht="15" hidden="false" customHeight="false" outlineLevel="0" collapsed="false">
      <c r="A32" s="11" t="s">
        <v>39</v>
      </c>
      <c r="B32" s="12" t="n">
        <v>201.87</v>
      </c>
      <c r="C32" s="13" t="n">
        <v>6413</v>
      </c>
      <c r="D32" s="14" t="n">
        <v>7050</v>
      </c>
      <c r="E32" s="14" t="n">
        <v>4082</v>
      </c>
      <c r="F32" s="14" t="n">
        <v>2918</v>
      </c>
      <c r="G32" s="15" t="n">
        <f aca="false">D32/1000</f>
        <v>7.05</v>
      </c>
      <c r="H32" s="15" t="n">
        <f aca="false">E32/1000</f>
        <v>4.082</v>
      </c>
      <c r="I32" s="16" t="n">
        <f aca="false">IFERROR(D32/F32,"")</f>
        <v>2.41603838245374</v>
      </c>
      <c r="J32" s="17"/>
    </row>
    <row r="33" customFormat="false" ht="15" hidden="false" customHeight="false" outlineLevel="0" collapsed="false">
      <c r="A33" s="4" t="s">
        <v>40</v>
      </c>
      <c r="B33" s="5" t="n">
        <v>300.31</v>
      </c>
      <c r="C33" s="6" t="n">
        <v>7000</v>
      </c>
      <c r="D33" s="7" t="n">
        <v>6570</v>
      </c>
      <c r="E33" s="7" t="n">
        <v>3251</v>
      </c>
      <c r="F33" s="7" t="n">
        <v>2954</v>
      </c>
      <c r="G33" s="8" t="n">
        <f aca="false">D33/1000</f>
        <v>6.57</v>
      </c>
      <c r="H33" s="8" t="n">
        <f aca="false">E33/1000</f>
        <v>3.251</v>
      </c>
      <c r="I33" s="9" t="n">
        <f aca="false">IFERROR(D33/F33,"")</f>
        <v>2.2241029113067</v>
      </c>
      <c r="J33" s="10"/>
    </row>
    <row r="34" customFormat="false" ht="15" hidden="false" customHeight="false" outlineLevel="0" collapsed="false">
      <c r="A34" s="11" t="s">
        <v>41</v>
      </c>
      <c r="B34" s="12" t="n">
        <v>196.28</v>
      </c>
      <c r="C34" s="13" t="n">
        <v>6359</v>
      </c>
      <c r="D34" s="14" t="n">
        <v>6265</v>
      </c>
      <c r="E34" s="14" t="n">
        <v>3251</v>
      </c>
      <c r="F34" s="14" t="n">
        <v>2898</v>
      </c>
      <c r="G34" s="15" t="n">
        <f aca="false">D34/1000</f>
        <v>6.265</v>
      </c>
      <c r="H34" s="15" t="n">
        <f aca="false">E34/1000</f>
        <v>3.251</v>
      </c>
      <c r="I34" s="16" t="n">
        <f aca="false">IFERROR(D34/F34,"")</f>
        <v>2.16183574879227</v>
      </c>
      <c r="J34" s="17"/>
    </row>
    <row r="35" customFormat="false" ht="15" hidden="false" customHeight="false" outlineLevel="0" collapsed="false">
      <c r="A35" s="4" t="s">
        <v>42</v>
      </c>
      <c r="B35" s="5" t="n">
        <v>302.68</v>
      </c>
      <c r="C35" s="6" t="n">
        <v>6953</v>
      </c>
      <c r="D35" s="7" t="n">
        <v>5885</v>
      </c>
      <c r="E35" s="7" t="n">
        <v>2415</v>
      </c>
      <c r="F35" s="7" t="n">
        <v>2263</v>
      </c>
      <c r="G35" s="8" t="n">
        <f aca="false">D35/1000</f>
        <v>5.885</v>
      </c>
      <c r="H35" s="8" t="n">
        <f aca="false">E35/1000</f>
        <v>2.415</v>
      </c>
      <c r="I35" s="9" t="n">
        <f aca="false">IFERROR(D35/F35,"")</f>
        <v>2.60053026955369</v>
      </c>
      <c r="J35" s="10"/>
    </row>
    <row r="36" customFormat="false" ht="15" hidden="false" customHeight="false" outlineLevel="0" collapsed="false">
      <c r="A36" s="11" t="s">
        <v>43</v>
      </c>
      <c r="B36" s="12" t="n">
        <v>58.7</v>
      </c>
      <c r="C36" s="13" t="n">
        <v>4507</v>
      </c>
      <c r="D36" s="14" t="n">
        <v>5473</v>
      </c>
      <c r="E36" s="14" t="n">
        <v>3353</v>
      </c>
      <c r="F36" s="14" t="n">
        <v>2582</v>
      </c>
      <c r="G36" s="15" t="n">
        <f aca="false">D36/1000</f>
        <v>5.473</v>
      </c>
      <c r="H36" s="15" t="n">
        <f aca="false">E36/1000</f>
        <v>3.353</v>
      </c>
      <c r="I36" s="16" t="n">
        <f aca="false">IFERROR(D36/F36,"")</f>
        <v>2.11967467079783</v>
      </c>
      <c r="J36" s="17"/>
    </row>
    <row r="37" customFormat="false" ht="15" hidden="false" customHeight="false" outlineLevel="0" collapsed="false">
      <c r="A37" s="4" t="s">
        <v>44</v>
      </c>
      <c r="B37" s="5" t="n">
        <v>131.93</v>
      </c>
      <c r="C37" s="6" t="n">
        <v>5328</v>
      </c>
      <c r="D37" s="7" t="n">
        <v>5181</v>
      </c>
      <c r="E37" s="7" t="n">
        <v>2621</v>
      </c>
      <c r="F37" s="7" t="n">
        <v>2422</v>
      </c>
      <c r="G37" s="8" t="n">
        <f aca="false">D37/1000</f>
        <v>5.181</v>
      </c>
      <c r="H37" s="8" t="n">
        <f aca="false">E37/1000</f>
        <v>2.621</v>
      </c>
      <c r="I37" s="9" t="n">
        <f aca="false">IFERROR(D37/F37,"")</f>
        <v>2.13914120561519</v>
      </c>
      <c r="J37" s="10"/>
    </row>
    <row r="38" customFormat="false" ht="15" hidden="false" customHeight="false" outlineLevel="0" collapsed="false">
      <c r="A38" s="11" t="s">
        <v>45</v>
      </c>
      <c r="B38" s="12" t="n">
        <v>140.68</v>
      </c>
      <c r="C38" s="13" t="n">
        <v>4965</v>
      </c>
      <c r="D38" s="14" t="n">
        <v>5120</v>
      </c>
      <c r="E38" s="14" t="n">
        <v>2657</v>
      </c>
      <c r="F38" s="14" t="n">
        <v>1940</v>
      </c>
      <c r="G38" s="15" t="n">
        <f aca="false">D38/1000</f>
        <v>5.12</v>
      </c>
      <c r="H38" s="15" t="n">
        <f aca="false">E38/1000</f>
        <v>2.657</v>
      </c>
      <c r="I38" s="16" t="n">
        <f aca="false">IFERROR(D38/F38,"")</f>
        <v>2.63917525773196</v>
      </c>
      <c r="J38" s="17"/>
    </row>
    <row r="39" customFormat="false" ht="15" hidden="false" customHeight="false" outlineLevel="0" collapsed="false">
      <c r="A39" s="4" t="s">
        <v>46</v>
      </c>
      <c r="B39" s="5" t="n">
        <v>65</v>
      </c>
      <c r="C39" s="6" t="n">
        <v>3845</v>
      </c>
      <c r="D39" s="7" t="n">
        <v>4697</v>
      </c>
      <c r="E39" s="7" t="n">
        <v>2822</v>
      </c>
      <c r="F39" s="7" t="n">
        <v>2468</v>
      </c>
      <c r="G39" s="8" t="n">
        <f aca="false">D39/1000</f>
        <v>4.697</v>
      </c>
      <c r="H39" s="8" t="n">
        <f aca="false">E39/1000</f>
        <v>2.822</v>
      </c>
      <c r="I39" s="9" t="n">
        <f aca="false">IFERROR(D39/F39,"")</f>
        <v>1.90316045380875</v>
      </c>
      <c r="J39" s="10"/>
    </row>
    <row r="40" customFormat="false" ht="15" hidden="false" customHeight="false" outlineLevel="0" collapsed="false">
      <c r="A40" s="11" t="s">
        <v>47</v>
      </c>
      <c r="B40" s="12" t="n">
        <v>177.61</v>
      </c>
      <c r="C40" s="13" t="n">
        <v>5367</v>
      </c>
      <c r="D40" s="14" t="n">
        <v>4561</v>
      </c>
      <c r="E40" s="14" t="n">
        <v>2068</v>
      </c>
      <c r="F40" s="14" t="n">
        <v>1812</v>
      </c>
      <c r="G40" s="15" t="n">
        <f aca="false">D40/1000</f>
        <v>4.561</v>
      </c>
      <c r="H40" s="15" t="n">
        <f aca="false">E40/1000</f>
        <v>2.068</v>
      </c>
      <c r="I40" s="16" t="n">
        <f aca="false">IFERROR(D40/F40,"")</f>
        <v>2.51710816777042</v>
      </c>
      <c r="J40" s="17"/>
    </row>
    <row r="41" customFormat="false" ht="15" hidden="false" customHeight="false" outlineLevel="0" collapsed="false">
      <c r="A41" s="4" t="s">
        <v>48</v>
      </c>
      <c r="B41" s="5" t="n">
        <v>75.31</v>
      </c>
      <c r="C41" s="6" t="n">
        <v>3891</v>
      </c>
      <c r="D41" s="7" t="n">
        <v>4495</v>
      </c>
      <c r="E41" s="7" t="n">
        <v>2743</v>
      </c>
      <c r="F41" s="7" t="n">
        <v>2237</v>
      </c>
      <c r="G41" s="8" t="n">
        <f aca="false">D41/1000</f>
        <v>4.495</v>
      </c>
      <c r="H41" s="8" t="n">
        <f aca="false">E41/1000</f>
        <v>2.743</v>
      </c>
      <c r="I41" s="9" t="n">
        <f aca="false">IFERROR(D41/F41,"")</f>
        <v>2.00938757264193</v>
      </c>
      <c r="J41" s="10"/>
    </row>
    <row r="42" customFormat="false" ht="15" hidden="false" customHeight="false" outlineLevel="0" collapsed="false">
      <c r="A42" s="11" t="s">
        <v>49</v>
      </c>
      <c r="B42" s="12" t="n">
        <v>60.51</v>
      </c>
      <c r="C42" s="13" t="n">
        <v>3703</v>
      </c>
      <c r="D42" s="14" t="n">
        <v>4265</v>
      </c>
      <c r="E42" s="14" t="n">
        <v>2422</v>
      </c>
      <c r="F42" s="14" t="n">
        <v>2273</v>
      </c>
      <c r="G42" s="15" t="n">
        <f aca="false">D42/1000</f>
        <v>4.265</v>
      </c>
      <c r="H42" s="15" t="n">
        <f aca="false">E42/1000</f>
        <v>2.422</v>
      </c>
      <c r="I42" s="16" t="n">
        <f aca="false">IFERROR(D42/F42,"")</f>
        <v>1.8763748350198</v>
      </c>
      <c r="J42" s="17"/>
    </row>
    <row r="43" customFormat="false" ht="15" hidden="false" customHeight="false" outlineLevel="0" collapsed="false">
      <c r="A43" s="4" t="s">
        <v>50</v>
      </c>
      <c r="B43" s="5" t="n">
        <v>174.68</v>
      </c>
      <c r="C43" s="6" t="n">
        <v>5276</v>
      </c>
      <c r="D43" s="7" t="n">
        <v>4246</v>
      </c>
      <c r="E43" s="7" t="n">
        <v>2068</v>
      </c>
      <c r="F43" s="7" t="n">
        <v>1708</v>
      </c>
      <c r="G43" s="8" t="n">
        <f aca="false">D43/1000</f>
        <v>4.246</v>
      </c>
      <c r="H43" s="8" t="n">
        <f aca="false">E43/1000</f>
        <v>2.068</v>
      </c>
      <c r="I43" s="9" t="n">
        <f aca="false">IFERROR(D43/F43,"")</f>
        <v>2.48594847775176</v>
      </c>
      <c r="J43" s="10"/>
    </row>
    <row r="44" customFormat="false" ht="15" hidden="false" customHeight="false" outlineLevel="0" collapsed="false">
      <c r="A44" s="11" t="s">
        <v>51</v>
      </c>
      <c r="B44" s="12" t="n">
        <v>58.94</v>
      </c>
      <c r="C44" s="13" t="n">
        <v>3772</v>
      </c>
      <c r="D44" s="14" t="n">
        <v>4135</v>
      </c>
      <c r="E44" s="14" t="n">
        <v>2258</v>
      </c>
      <c r="F44" s="14" t="n">
        <v>1598</v>
      </c>
      <c r="G44" s="15" t="n">
        <f aca="false">D44/1000</f>
        <v>4.135</v>
      </c>
      <c r="H44" s="15" t="n">
        <f aca="false">E44/1000</f>
        <v>2.258</v>
      </c>
      <c r="I44" s="16" t="n">
        <f aca="false">IFERROR(D44/F44,"")</f>
        <v>2.58760951188986</v>
      </c>
      <c r="J44" s="17"/>
    </row>
    <row r="45" customFormat="false" ht="15" hidden="false" customHeight="false" outlineLevel="0" collapsed="false">
      <c r="A45" s="4" t="s">
        <v>52</v>
      </c>
      <c r="B45" s="5" t="n">
        <v>60.19</v>
      </c>
      <c r="C45" s="6" t="n">
        <v>3809</v>
      </c>
      <c r="D45" s="7" t="n">
        <v>3751</v>
      </c>
      <c r="E45" s="7" t="n">
        <v>1846</v>
      </c>
      <c r="F45" s="7" t="n">
        <v>1281</v>
      </c>
      <c r="G45" s="8" t="n">
        <f aca="false">D45/1000</f>
        <v>3.751</v>
      </c>
      <c r="H45" s="8" t="n">
        <f aca="false">E45/1000</f>
        <v>1.846</v>
      </c>
      <c r="I45" s="9" t="n">
        <f aca="false">IFERROR(D45/F45,"")</f>
        <v>2.92818110850898</v>
      </c>
      <c r="J45" s="10"/>
    </row>
    <row r="46" customFormat="false" ht="15" hidden="false" customHeight="false" outlineLevel="0" collapsed="false">
      <c r="A46" s="11" t="s">
        <v>53</v>
      </c>
      <c r="B46" s="12" t="n">
        <v>88.51</v>
      </c>
      <c r="C46" s="13" t="n">
        <v>3848</v>
      </c>
      <c r="D46" s="14" t="n">
        <v>3511</v>
      </c>
      <c r="E46" s="14" t="n">
        <v>1594</v>
      </c>
      <c r="F46" s="14" t="n">
        <v>1229</v>
      </c>
      <c r="G46" s="15" t="n">
        <f aca="false">D46/1000</f>
        <v>3.511</v>
      </c>
      <c r="H46" s="15" t="n">
        <f aca="false">E46/1000</f>
        <v>1.594</v>
      </c>
      <c r="I46" s="16" t="n">
        <f aca="false">IFERROR(D46/F46,"")</f>
        <v>2.85679414157852</v>
      </c>
      <c r="J46" s="17"/>
    </row>
    <row r="47" customFormat="false" ht="15" hidden="false" customHeight="false" outlineLevel="0" collapsed="false">
      <c r="A47" s="18" t="s">
        <v>54</v>
      </c>
      <c r="B47" s="19" t="n">
        <v>124</v>
      </c>
      <c r="C47" s="20" t="n">
        <v>4814</v>
      </c>
      <c r="D47" s="21" t="n">
        <v>3454</v>
      </c>
      <c r="E47" s="21" t="n">
        <v>1052</v>
      </c>
      <c r="F47" s="21" t="n">
        <v>922</v>
      </c>
      <c r="G47" s="22" t="n">
        <f aca="false">D47/1000</f>
        <v>3.454</v>
      </c>
      <c r="H47" s="22" t="n">
        <f aca="false">E47/1000</f>
        <v>1.052</v>
      </c>
      <c r="I47" s="23" t="n">
        <f aca="false">IFERROR(D47/F47,"")</f>
        <v>3.74620390455531</v>
      </c>
      <c r="J47" s="24"/>
    </row>
    <row r="48" customFormat="false" ht="15" hidden="false" customHeight="false" outlineLevel="0" collapsed="false">
      <c r="A48" s="11" t="s">
        <v>55</v>
      </c>
      <c r="B48" s="12" t="n">
        <v>60.87</v>
      </c>
      <c r="C48" s="13" t="n">
        <v>3801</v>
      </c>
      <c r="D48" s="14" t="n">
        <v>3368</v>
      </c>
      <c r="E48" s="14" t="n">
        <v>1656</v>
      </c>
      <c r="F48" s="14" t="n">
        <v>1426</v>
      </c>
      <c r="G48" s="15" t="n">
        <f aca="false">D48/1000</f>
        <v>3.368</v>
      </c>
      <c r="H48" s="15" t="n">
        <f aca="false">E48/1000</f>
        <v>1.656</v>
      </c>
      <c r="I48" s="16" t="n">
        <f aca="false">IFERROR(D48/F48,"")</f>
        <v>2.36185133239832</v>
      </c>
      <c r="J48" s="17"/>
    </row>
    <row r="49" customFormat="false" ht="15" hidden="false" customHeight="false" outlineLevel="0" collapsed="false">
      <c r="A49" s="4" t="s">
        <v>56</v>
      </c>
      <c r="B49" s="5" t="n">
        <v>59.61</v>
      </c>
      <c r="C49" s="6" t="n">
        <v>3784</v>
      </c>
      <c r="D49" s="7" t="n">
        <v>3094</v>
      </c>
      <c r="E49" s="7" t="n">
        <v>1659</v>
      </c>
      <c r="F49" s="7" t="n">
        <v>1302</v>
      </c>
      <c r="G49" s="8" t="n">
        <f aca="false">D49/1000</f>
        <v>3.094</v>
      </c>
      <c r="H49" s="8" t="n">
        <f aca="false">E49/1000</f>
        <v>1.659</v>
      </c>
      <c r="I49" s="9" t="n">
        <f aca="false">IFERROR(D49/F49,"")</f>
        <v>2.37634408602151</v>
      </c>
      <c r="J49" s="10"/>
    </row>
    <row r="50" customFormat="false" ht="15" hidden="false" customHeight="false" outlineLevel="0" collapsed="false">
      <c r="A50" s="18" t="s">
        <v>57</v>
      </c>
      <c r="B50" s="19" t="n">
        <v>80.13</v>
      </c>
      <c r="C50" s="20" t="n">
        <v>4466</v>
      </c>
      <c r="D50" s="21" t="n">
        <v>2970</v>
      </c>
      <c r="E50" s="21" t="n">
        <v>747</v>
      </c>
      <c r="F50" s="21" t="n">
        <v>704</v>
      </c>
      <c r="G50" s="22" t="n">
        <f aca="false">D50/1000</f>
        <v>2.97</v>
      </c>
      <c r="H50" s="22" t="n">
        <f aca="false">E50/1000</f>
        <v>0.747</v>
      </c>
      <c r="I50" s="23" t="n">
        <f aca="false">IFERROR(D50/F50,"")</f>
        <v>4.21875</v>
      </c>
      <c r="J50" s="24"/>
    </row>
    <row r="51" customFormat="false" ht="15" hidden="false" customHeight="false" outlineLevel="0" collapsed="false">
      <c r="A51" s="18" t="s">
        <v>58</v>
      </c>
      <c r="B51" s="19" t="n">
        <v>59.79</v>
      </c>
      <c r="C51" s="20" t="n">
        <v>3770</v>
      </c>
      <c r="D51" s="21" t="n">
        <v>2690</v>
      </c>
      <c r="E51" s="21" t="n">
        <v>1261</v>
      </c>
      <c r="F51" s="21" t="n">
        <v>893</v>
      </c>
      <c r="G51" s="22" t="n">
        <f aca="false">D51/1000</f>
        <v>2.69</v>
      </c>
      <c r="H51" s="22" t="n">
        <f aca="false">E51/1000</f>
        <v>1.261</v>
      </c>
      <c r="I51" s="23" t="n">
        <f aca="false">IFERROR(D51/F51,"")</f>
        <v>3.01231802911534</v>
      </c>
      <c r="J51" s="24"/>
    </row>
    <row r="52" customFormat="false" ht="15" hidden="false" customHeight="false" outlineLevel="0" collapsed="false">
      <c r="A52" s="11" t="s">
        <v>59</v>
      </c>
      <c r="B52" s="12" t="n">
        <v>19.78</v>
      </c>
      <c r="C52" s="13" t="n">
        <v>2018</v>
      </c>
      <c r="D52" s="14" t="n">
        <v>2635</v>
      </c>
      <c r="E52" s="14" t="n">
        <v>1629</v>
      </c>
      <c r="F52" s="14" t="n">
        <v>1077</v>
      </c>
      <c r="G52" s="15" t="n">
        <f aca="false">D52/1000</f>
        <v>2.635</v>
      </c>
      <c r="H52" s="15" t="n">
        <f aca="false">E52/1000</f>
        <v>1.629</v>
      </c>
      <c r="I52" s="16" t="n">
        <f aca="false">IFERROR(D52/F52,"")</f>
        <v>2.44661095636026</v>
      </c>
      <c r="J52" s="17"/>
    </row>
    <row r="53" customFormat="false" ht="15" hidden="false" customHeight="false" outlineLevel="0" collapsed="false">
      <c r="A53" s="18" t="s">
        <v>60</v>
      </c>
      <c r="B53" s="19" t="n">
        <v>70.98</v>
      </c>
      <c r="C53" s="20" t="n">
        <v>3651</v>
      </c>
      <c r="D53" s="21" t="n">
        <v>2481</v>
      </c>
      <c r="E53" s="21" t="n">
        <v>1126</v>
      </c>
      <c r="F53" s="21" t="n">
        <v>628</v>
      </c>
      <c r="G53" s="22" t="n">
        <f aca="false">D53/1000</f>
        <v>2.481</v>
      </c>
      <c r="H53" s="22" t="n">
        <f aca="false">E53/1000</f>
        <v>1.126</v>
      </c>
      <c r="I53" s="23" t="n">
        <f aca="false">IFERROR(D53/F53,"")</f>
        <v>3.95063694267516</v>
      </c>
      <c r="J53" s="24"/>
    </row>
    <row r="54" customFormat="false" ht="15" hidden="false" customHeight="false" outlineLevel="0" collapsed="false">
      <c r="A54" s="18" t="s">
        <v>61</v>
      </c>
      <c r="B54" s="19" t="n">
        <v>113.78</v>
      </c>
      <c r="C54" s="20" t="n">
        <v>4554</v>
      </c>
      <c r="D54" s="21" t="n">
        <v>2285</v>
      </c>
      <c r="E54" s="21" t="n">
        <v>277</v>
      </c>
      <c r="F54" s="21" t="n">
        <v>174</v>
      </c>
      <c r="G54" s="22" t="n">
        <f aca="false">D54/1000</f>
        <v>2.285</v>
      </c>
      <c r="H54" s="22" t="n">
        <f aca="false">E54/1000</f>
        <v>0.277</v>
      </c>
      <c r="I54" s="23" t="n">
        <f aca="false">IFERROR(D54/F54,"")</f>
        <v>13.132183908046</v>
      </c>
      <c r="J54" s="24"/>
    </row>
    <row r="55" customFormat="false" ht="15" hidden="false" customHeight="false" outlineLevel="0" collapsed="false">
      <c r="A55" s="4" t="s">
        <v>62</v>
      </c>
      <c r="B55" s="5" t="n">
        <v>18.11</v>
      </c>
      <c r="C55" s="6" t="n">
        <v>1911</v>
      </c>
      <c r="D55" s="7" t="n">
        <v>2077</v>
      </c>
      <c r="E55" s="7" t="n">
        <v>1126</v>
      </c>
      <c r="F55" s="7" t="n">
        <v>836</v>
      </c>
      <c r="G55" s="8" t="n">
        <f aca="false">D55/1000</f>
        <v>2.077</v>
      </c>
      <c r="H55" s="8" t="n">
        <f aca="false">E55/1000</f>
        <v>1.126</v>
      </c>
      <c r="I55" s="9" t="n">
        <f aca="false">IFERROR(D55/F55,"")</f>
        <v>2.48444976076555</v>
      </c>
      <c r="J55" s="10"/>
    </row>
    <row r="57" customFormat="false" ht="15" hidden="false" customHeight="false" outlineLevel="0" collapsed="false">
      <c r="A57" s="25" t="s">
        <v>63</v>
      </c>
      <c r="B57" s="26" t="n">
        <f aca="false">SUM(B5:B55)</f>
        <v>6880.81</v>
      </c>
      <c r="D57" s="27" t="n">
        <f aca="false">MAX(IFERROR(D5:D55*1,0))</f>
        <v>0</v>
      </c>
      <c r="G57" s="28" t="n">
        <f aca="false">IFERROR(MAX(G5:G55),"")</f>
        <v>13.744</v>
      </c>
      <c r="I57" s="29" t="n">
        <f aca="false">IFERROR(AVERAGE(I5:I55),"")</f>
        <v>2.23379874969021</v>
      </c>
    </row>
    <row r="58" customFormat="false" ht="15" hidden="false" customHeight="false" outlineLevel="0" collapsed="false">
      <c r="A58" s="30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31" t="s">
        <v>65</v>
      </c>
    </row>
    <row r="3" customFormat="false" ht="30" hidden="false" customHeight="true" outlineLevel="0" collapsed="false">
      <c r="A3" s="32" t="s">
        <v>66</v>
      </c>
      <c r="B3" s="33" t="s">
        <v>67</v>
      </c>
    </row>
    <row r="4" customFormat="false" ht="30" hidden="false" customHeight="true" outlineLevel="0" collapsed="false">
      <c r="A4" s="32" t="s">
        <v>68</v>
      </c>
      <c r="B4" s="33" t="s">
        <v>69</v>
      </c>
    </row>
    <row r="5" customFormat="false" ht="30" hidden="false" customHeight="true" outlineLevel="0" collapsed="false">
      <c r="A5" s="32" t="s">
        <v>70</v>
      </c>
      <c r="B5" s="33" t="s">
        <v>71</v>
      </c>
    </row>
    <row r="6" customFormat="false" ht="30" hidden="false" customHeight="true" outlineLevel="0" collapsed="false">
      <c r="A6" s="32" t="s">
        <v>72</v>
      </c>
      <c r="B6" s="33" t="s">
        <v>73</v>
      </c>
    </row>
    <row r="7" customFormat="false" ht="30" hidden="false" customHeight="true" outlineLevel="0" collapsed="false">
      <c r="A7" s="32" t="s">
        <v>74</v>
      </c>
      <c r="B7" s="33" t="s">
        <v>75</v>
      </c>
    </row>
    <row r="8" customFormat="false" ht="30" hidden="false" customHeight="true" outlineLevel="0" collapsed="false">
      <c r="A8" s="32" t="s">
        <v>76</v>
      </c>
      <c r="B8" s="33" t="s">
        <v>77</v>
      </c>
    </row>
    <row r="9" customFormat="false" ht="30" hidden="false" customHeight="true" outlineLevel="0" collapsed="false">
      <c r="A9" s="32" t="s">
        <v>78</v>
      </c>
      <c r="B9" s="33" t="s">
        <v>79</v>
      </c>
    </row>
    <row r="10" customFormat="false" ht="30" hidden="false" customHeight="true" outlineLevel="0" collapsed="false">
      <c r="A10" s="32" t="s">
        <v>80</v>
      </c>
      <c r="B10" s="33" t="s">
        <v>81</v>
      </c>
    </row>
    <row r="11" customFormat="false" ht="30" hidden="false" customHeight="true" outlineLevel="0" collapsed="false">
      <c r="A11" s="32" t="s">
        <v>82</v>
      </c>
      <c r="B11" s="33" t="s">
        <v>83</v>
      </c>
    </row>
    <row r="12" customFormat="false" ht="30" hidden="false" customHeight="true" outlineLevel="0" collapsed="false">
      <c r="A12" s="32" t="s">
        <v>84</v>
      </c>
      <c r="B12" s="3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2026-09-14T12:32:20Z</dcterms:created>
  <dc:creator>openpyxl</dc:creator>
  <dc:description/>
  <dc:language>en-US</dc:language>
  <cp:lastModifiedBy/>
  <dcterms:modified xsi:type="dcterms:W3CDTF">2026-09-14T12:32:20Z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