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4ED1BAE8-6B5C-4E0C-8E3F-D25C1F5907AB}" xr6:coauthVersionLast="47" xr6:coauthVersionMax="47" xr10:uidLastSave="{00000000-0000-0000-0000-000000000000}"/>
  <bookViews>
    <workbookView xWindow="2232" yWindow="2232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76" i="1" l="1"/>
  <c r="I76" i="1"/>
</calcChain>
</file>

<file path=xl/sharedStrings.xml><?xml version="1.0" encoding="utf-8"?>
<sst xmlns="http://schemas.openxmlformats.org/spreadsheetml/2006/main" count="123" uniqueCount="108">
  <si>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</si>
  <si>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</si>
  <si>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</si>
  <si>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</si>
  <si>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</si>
  <si>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</si>
  <si>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</si>
  <si>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</si>
  <si>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</si>
  <si>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</si>
  <si>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</si>
  <si>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</si>
  <si>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</si>
  <si>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</si>
  <si>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</si>
  <si>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</si>
  <si>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</si>
  <si>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</si>
  <si>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</si>
  <si>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</si>
  <si>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</si>
  <si>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</si>
  <si>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</si>
  <si>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</si>
  <si>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</si>
  <si>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</si>
  <si>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</si>
  <si>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</si>
  <si>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</si>
  <si>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</si>
  <si>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</si>
  <si>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</si>
  <si>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</si>
  <si>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</si>
  <si>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</si>
  <si>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</si>
  <si>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</si>
  <si>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</si>
  <si>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</si>
  <si>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</si>
  <si>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</si>
  <si>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</si>
  <si>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</si>
  <si>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</si>
  <si>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</si>
  <si>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</si>
  <si>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</si>
  <si>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</si>
  <si>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</si>
  <si>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</si>
  <si>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</si>
  <si>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</si>
  <si>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</si>
  <si>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</si>
  <si>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</si>
  <si>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</si>
  <si>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</si>
  <si>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</si>
  <si>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</si>
  <si>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</si>
  <si>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</si>
  <si>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</si>
  <si>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</si>
  <si>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</si>
  <si>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</si>
  <si>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</si>
  <si>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</si>
  <si>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</si>
  <si>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</si>
  <si>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T-06A</t>
  </si>
  <si>
    <t>T-07B</t>
  </si>
  <si>
    <t>T-07</t>
  </si>
  <si>
    <t>T-08</t>
  </si>
  <si>
    <t>T-02</t>
  </si>
  <si>
    <t>T-09</t>
  </si>
  <si>
    <t>T-10B</t>
  </si>
  <si>
    <t>T-06C</t>
  </si>
  <si>
    <t>T-01</t>
  </si>
  <si>
    <t>T-10</t>
  </si>
  <si>
    <t>T-05D</t>
  </si>
  <si>
    <t>sem acesso</t>
  </si>
  <si>
    <t>—</t>
  </si>
  <si>
    <t>sem estrada até este talhão</t>
  </si>
  <si>
    <t>T-40C</t>
  </si>
  <si>
    <t>T-CON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</si>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</sst>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25278</v>
      </c>
      <c r="E8" s="14">
        <v>24284</v>
      </c>
      <c r="F8" s="14">
        <v>13732</v>
      </c>
      <c r="G8" s="15">
        <f t="shared" si="0"/>
        <v>25.277999999999999</v>
      </c>
      <c r="H8" s="15">
        <f t="shared" si="1"/>
        <v>24.283999999999999</v>
      </c>
      <c r="I8" s="16">
        <f t="shared" si="2"/>
        <v>1.8408097873579958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24923</v>
      </c>
      <c r="F10" s="14">
        <v>14034</v>
      </c>
      <c r="G10" s="15">
        <f t="shared" si="0"/>
        <v>25.100999999999999</v>
      </c>
      <c r="H10" s="15">
        <f t="shared" si="1"/>
        <v>24.922999999999998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24949</v>
      </c>
      <c r="E12" s="14">
        <v>24436</v>
      </c>
      <c r="F12" s="14">
        <v>14553</v>
      </c>
      <c r="G12" s="15">
        <f t="shared" si="0"/>
        <v>24.949000000000002</v>
      </c>
      <c r="H12" s="15">
        <f t="shared" si="1"/>
        <v>24.436</v>
      </c>
      <c r="I12" s="16">
        <f t="shared" si="2"/>
        <v>1.7143544286401429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22964</v>
      </c>
      <c r="F15" s="7">
        <v>15705</v>
      </c>
      <c r="G15" s="8">
        <f t="shared" si="0"/>
        <v>24.469000000000001</v>
      </c>
      <c r="H15" s="8">
        <f t="shared" si="1"/>
        <v>22.963999999999999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21082</v>
      </c>
      <c r="F19" s="7">
        <v>14968</v>
      </c>
      <c r="G19" s="8">
        <f t="shared" si="0"/>
        <v>24.038</v>
      </c>
      <c r="H19" s="8">
        <f t="shared" si="1"/>
        <v>21.082000000000001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23397</v>
      </c>
      <c r="E22" s="14">
        <v>22658</v>
      </c>
      <c r="F22" s="14">
        <v>14244</v>
      </c>
      <c r="G22" s="15">
        <f t="shared" si="0"/>
        <v>23.396999999999998</v>
      </c>
      <c r="H22" s="15">
        <f t="shared" si="1"/>
        <v>22.658000000000001</v>
      </c>
      <c r="I22" s="16">
        <f t="shared" si="2"/>
        <v>1.6425863521482729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22886</v>
      </c>
      <c r="E24" s="14">
        <v>22278</v>
      </c>
      <c r="F24" s="14">
        <v>14442</v>
      </c>
      <c r="G24" s="15">
        <f t="shared" si="0"/>
        <v>22.885999999999999</v>
      </c>
      <c r="H24" s="15">
        <f t="shared" si="1"/>
        <v>22.277999999999999</v>
      </c>
      <c r="I24" s="16">
        <f t="shared" si="2"/>
        <v>1.5846835618335411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20930</v>
      </c>
      <c r="F25" s="7">
        <v>14233</v>
      </c>
      <c r="G25" s="8">
        <f t="shared" si="0"/>
        <v>22.329000000000001</v>
      </c>
      <c r="H25" s="8">
        <f t="shared" si="1"/>
        <v>20.93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20519</v>
      </c>
      <c r="F27" s="7">
        <v>14141</v>
      </c>
      <c r="G27" s="8">
        <f t="shared" si="0"/>
        <v>21.562999999999999</v>
      </c>
      <c r="H27" s="8">
        <f t="shared" si="1"/>
        <v>20.518999999999998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18949</v>
      </c>
      <c r="F32" s="14">
        <v>12932</v>
      </c>
      <c r="G32" s="15">
        <f t="shared" si="0"/>
        <v>20.192</v>
      </c>
      <c r="H32" s="15">
        <f t="shared" si="1"/>
        <v>18.949000000000002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17290</v>
      </c>
      <c r="F37" s="7">
        <v>10413</v>
      </c>
      <c r="G37" s="8">
        <f t="shared" ref="G37:G71" si="3">D37/1000</f>
        <v>18.309999999999999</v>
      </c>
      <c r="H37" s="8">
        <f t="shared" ref="H37:H71" si="4">E37/1000</f>
        <v>17.29</v>
      </c>
      <c r="I37" s="9">
        <f t="shared" ref="I37:I71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15286</v>
      </c>
      <c r="F38" s="14">
        <v>9361</v>
      </c>
      <c r="G38" s="15">
        <f t="shared" si="3"/>
        <v>18.309999999999999</v>
      </c>
      <c r="H38" s="15">
        <f t="shared" si="4"/>
        <v>15.286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18066</v>
      </c>
      <c r="E39" s="7">
        <v>16214</v>
      </c>
      <c r="F39" s="7">
        <v>10293</v>
      </c>
      <c r="G39" s="8">
        <f t="shared" si="3"/>
        <v>18.065999999999999</v>
      </c>
      <c r="H39" s="8">
        <f t="shared" si="4"/>
        <v>16.213999999999999</v>
      </c>
      <c r="I39" s="9">
        <f t="shared" si="5"/>
        <v>1.7551734188283299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18066</v>
      </c>
      <c r="E40" s="14">
        <v>15286</v>
      </c>
      <c r="F40" s="14">
        <v>9364</v>
      </c>
      <c r="G40" s="15">
        <f t="shared" si="3"/>
        <v>18.065999999999999</v>
      </c>
      <c r="H40" s="15">
        <f t="shared" si="4"/>
        <v>15.286</v>
      </c>
      <c r="I40" s="16">
        <f t="shared" si="5"/>
        <v>1.9293037163605298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18049</v>
      </c>
      <c r="E41" s="7">
        <v>16976</v>
      </c>
      <c r="F41" s="7">
        <v>10355</v>
      </c>
      <c r="G41" s="8">
        <f t="shared" si="3"/>
        <v>18.048999999999999</v>
      </c>
      <c r="H41" s="8">
        <f t="shared" si="4"/>
        <v>16.975999999999999</v>
      </c>
      <c r="I41" s="9">
        <f t="shared" si="5"/>
        <v>1.7430226943505553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17848</v>
      </c>
      <c r="E42" s="14">
        <v>16271</v>
      </c>
      <c r="F42" s="14">
        <v>10324</v>
      </c>
      <c r="G42" s="15">
        <f t="shared" si="3"/>
        <v>17.847999999999999</v>
      </c>
      <c r="H42" s="15">
        <f t="shared" si="4"/>
        <v>16.271000000000001</v>
      </c>
      <c r="I42" s="16">
        <f t="shared" si="5"/>
        <v>1.7287872917473848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17340</v>
      </c>
      <c r="E43" s="7">
        <v>15921</v>
      </c>
      <c r="F43" s="7">
        <v>9510</v>
      </c>
      <c r="G43" s="8">
        <f t="shared" si="3"/>
        <v>17.34</v>
      </c>
      <c r="H43" s="8">
        <f t="shared" si="4"/>
        <v>15.920999999999999</v>
      </c>
      <c r="I43" s="9">
        <f t="shared" si="5"/>
        <v>1.8233438485804416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15286</v>
      </c>
      <c r="F46" s="14">
        <v>9367</v>
      </c>
      <c r="G46" s="15">
        <f t="shared" si="3"/>
        <v>16.271000000000001</v>
      </c>
      <c r="H46" s="15">
        <f t="shared" si="4"/>
        <v>15.286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14701</v>
      </c>
      <c r="F47" s="7">
        <v>7664</v>
      </c>
      <c r="G47" s="8">
        <f t="shared" si="3"/>
        <v>14.86</v>
      </c>
      <c r="H47" s="8">
        <f t="shared" si="4"/>
        <v>14.701000000000001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13378</v>
      </c>
      <c r="F48" s="14">
        <v>7560</v>
      </c>
      <c r="G48" s="15">
        <f t="shared" si="3"/>
        <v>14.805</v>
      </c>
      <c r="H48" s="15">
        <f t="shared" si="4"/>
        <v>13.378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13378</v>
      </c>
      <c r="F49" s="7">
        <v>7303</v>
      </c>
      <c r="G49" s="8">
        <f t="shared" si="3"/>
        <v>14.805</v>
      </c>
      <c r="H49" s="8">
        <f t="shared" si="4"/>
        <v>13.378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13378</v>
      </c>
      <c r="F51" s="7">
        <v>7306</v>
      </c>
      <c r="G51" s="8">
        <f t="shared" si="3"/>
        <v>14.749000000000001</v>
      </c>
      <c r="H51" s="8">
        <f t="shared" si="4"/>
        <v>13.378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11582</v>
      </c>
      <c r="E52" s="14">
        <v>7485</v>
      </c>
      <c r="F52" s="14">
        <v>5896</v>
      </c>
      <c r="G52" s="15">
        <f t="shared" si="3"/>
        <v>11.582000000000001</v>
      </c>
      <c r="H52" s="15">
        <f t="shared" si="4"/>
        <v>7.4850000000000003</v>
      </c>
      <c r="I52" s="16">
        <f t="shared" si="5"/>
        <v>1.96438263229308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9527</v>
      </c>
      <c r="E58" s="21">
        <v>6727</v>
      </c>
      <c r="F58" s="21">
        <v>2656</v>
      </c>
      <c r="G58" s="22">
        <f t="shared" si="3"/>
        <v>9.5269999999999992</v>
      </c>
      <c r="H58" s="22">
        <f t="shared" si="4"/>
        <v>6.7270000000000003</v>
      </c>
      <c r="I58" s="23">
        <f t="shared" si="5"/>
        <v>3.5869728915662651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8060</v>
      </c>
      <c r="E61" s="7">
        <v>6402</v>
      </c>
      <c r="F61" s="7">
        <v>5202</v>
      </c>
      <c r="G61" s="8">
        <f t="shared" si="3"/>
        <v>8.06</v>
      </c>
      <c r="H61" s="8">
        <f t="shared" si="4"/>
        <v>6.4020000000000001</v>
      </c>
      <c r="I61" s="9">
        <f t="shared" si="5"/>
        <v>1.5494040753556324</v>
      </c>
      <c r="J61" s="10"/>
    </row>
    <row r="62" spans="1:10" x14ac:dyDescent="0.3">
      <c r="A62" s="18" t="s">
        <v>69</v>
      </c>
      <c r="B62" s="19">
        <v>39.74</v>
      </c>
      <c r="C62" s="20">
        <v>3355</v>
      </c>
      <c r="D62" s="21">
        <v>7579</v>
      </c>
      <c r="E62" s="21">
        <v>6617</v>
      </c>
      <c r="F62" s="21">
        <v>1816</v>
      </c>
      <c r="G62" s="22">
        <f t="shared" si="3"/>
        <v>7.5789999999999997</v>
      </c>
      <c r="H62" s="22">
        <f t="shared" si="4"/>
        <v>6.617</v>
      </c>
      <c r="I62" s="23">
        <f t="shared" si="5"/>
        <v>4.1734581497797354</v>
      </c>
      <c r="J62" s="24"/>
    </row>
    <row r="63" spans="1:10" x14ac:dyDescent="0.3">
      <c r="A63" s="18" t="s">
        <v>70</v>
      </c>
      <c r="B63" s="19">
        <v>72.52</v>
      </c>
      <c r="C63" s="20">
        <v>3558</v>
      </c>
      <c r="D63" s="21">
        <v>7432</v>
      </c>
      <c r="E63" s="21">
        <v>6033</v>
      </c>
      <c r="F63" s="21">
        <v>1840</v>
      </c>
      <c r="G63" s="22">
        <f t="shared" si="3"/>
        <v>7.4320000000000004</v>
      </c>
      <c r="H63" s="22">
        <f t="shared" si="4"/>
        <v>6.0330000000000004</v>
      </c>
      <c r="I63" s="23">
        <f t="shared" si="5"/>
        <v>4.0391304347826091</v>
      </c>
      <c r="J63" s="24"/>
    </row>
    <row r="64" spans="1:10" x14ac:dyDescent="0.3">
      <c r="A64" s="18" t="s">
        <v>71</v>
      </c>
      <c r="B64" s="19">
        <v>93.41</v>
      </c>
      <c r="C64" s="20">
        <v>4212</v>
      </c>
      <c r="D64" s="21">
        <v>6651</v>
      </c>
      <c r="E64" s="21">
        <v>5303</v>
      </c>
      <c r="F64" s="21">
        <v>539</v>
      </c>
      <c r="G64" s="22">
        <f t="shared" si="3"/>
        <v>6.6509999999999998</v>
      </c>
      <c r="H64" s="22">
        <f t="shared" si="4"/>
        <v>5.3029999999999999</v>
      </c>
      <c r="I64" s="23">
        <f t="shared" si="5"/>
        <v>12.339517625231911</v>
      </c>
      <c r="J64" s="24"/>
    </row>
    <row r="65" spans="1:10" x14ac:dyDescent="0.3">
      <c r="A65" s="18" t="s">
        <v>72</v>
      </c>
      <c r="B65" s="19">
        <v>30.12</v>
      </c>
      <c r="C65" s="20">
        <v>2592</v>
      </c>
      <c r="D65" s="21">
        <v>6617</v>
      </c>
      <c r="E65" s="21">
        <v>5688</v>
      </c>
      <c r="F65" s="21">
        <v>929</v>
      </c>
      <c r="G65" s="22">
        <f t="shared" si="3"/>
        <v>6.617</v>
      </c>
      <c r="H65" s="22">
        <f t="shared" si="4"/>
        <v>5.6879999999999997</v>
      </c>
      <c r="I65" s="23">
        <f t="shared" si="5"/>
        <v>7.1227125941872984</v>
      </c>
      <c r="J65" s="24"/>
    </row>
    <row r="66" spans="1:10" x14ac:dyDescent="0.3">
      <c r="A66" s="18" t="s">
        <v>73</v>
      </c>
      <c r="B66" s="19">
        <v>159.81</v>
      </c>
      <c r="C66" s="20">
        <v>5989</v>
      </c>
      <c r="D66" s="21">
        <v>6061</v>
      </c>
      <c r="E66" s="21">
        <v>3243</v>
      </c>
      <c r="F66" s="21">
        <v>623</v>
      </c>
      <c r="G66" s="22">
        <f t="shared" si="3"/>
        <v>6.0609999999999999</v>
      </c>
      <c r="H66" s="22">
        <f t="shared" si="4"/>
        <v>3.2429999999999999</v>
      </c>
      <c r="I66" s="23">
        <f t="shared" si="5"/>
        <v>9.728731942215088</v>
      </c>
      <c r="J66" s="24"/>
    </row>
    <row r="67" spans="1:10" x14ac:dyDescent="0.3">
      <c r="A67" s="18" t="s">
        <v>74</v>
      </c>
      <c r="B67" s="19">
        <v>226.37</v>
      </c>
      <c r="C67" s="20">
        <v>7413</v>
      </c>
      <c r="D67" s="21">
        <v>6005</v>
      </c>
      <c r="E67" s="21">
        <v>3122</v>
      </c>
      <c r="F67" s="21">
        <v>554</v>
      </c>
      <c r="G67" s="22">
        <f t="shared" si="3"/>
        <v>6.0049999999999999</v>
      </c>
      <c r="H67" s="22">
        <f t="shared" si="4"/>
        <v>3.1219999999999999</v>
      </c>
      <c r="I67" s="23">
        <f t="shared" si="5"/>
        <v>10.839350180505415</v>
      </c>
      <c r="J67" s="24"/>
    </row>
    <row r="68" spans="1:10" x14ac:dyDescent="0.3">
      <c r="A68" s="18" t="s">
        <v>75</v>
      </c>
      <c r="B68" s="19">
        <v>127.8</v>
      </c>
      <c r="C68" s="20">
        <v>5228</v>
      </c>
      <c r="D68" s="21">
        <v>5303</v>
      </c>
      <c r="E68" s="21">
        <v>1483</v>
      </c>
      <c r="F68" s="21">
        <v>289</v>
      </c>
      <c r="G68" s="22">
        <f t="shared" si="3"/>
        <v>5.3029999999999999</v>
      </c>
      <c r="H68" s="22">
        <f t="shared" si="4"/>
        <v>1.4830000000000001</v>
      </c>
      <c r="I68" s="23">
        <f t="shared" si="5"/>
        <v>18.349480968858131</v>
      </c>
      <c r="J68" s="24"/>
    </row>
    <row r="69" spans="1:10" x14ac:dyDescent="0.3">
      <c r="A69" s="4" t="s">
        <v>76</v>
      </c>
      <c r="B69" s="5">
        <v>36.46</v>
      </c>
      <c r="C69" s="6">
        <v>2605</v>
      </c>
      <c r="D69" s="7">
        <v>4420</v>
      </c>
      <c r="E69" s="7">
        <v>4380</v>
      </c>
      <c r="F69" s="7">
        <v>3603</v>
      </c>
      <c r="G69" s="8">
        <f t="shared" si="3"/>
        <v>4.42</v>
      </c>
      <c r="H69" s="8">
        <f t="shared" si="4"/>
        <v>4.38</v>
      </c>
      <c r="I69" s="9">
        <f t="shared" si="5"/>
        <v>1.2267554815431585</v>
      </c>
      <c r="J69" s="10"/>
    </row>
    <row r="70" spans="1:10" x14ac:dyDescent="0.3">
      <c r="A70" s="18" t="s">
        <v>77</v>
      </c>
      <c r="B70" s="19">
        <v>110.29</v>
      </c>
      <c r="C70" s="20">
        <v>5351</v>
      </c>
      <c r="D70" s="21">
        <v>4395</v>
      </c>
      <c r="E70" s="21">
        <v>616</v>
      </c>
      <c r="F70" s="21">
        <v>172</v>
      </c>
      <c r="G70" s="22">
        <f t="shared" si="3"/>
        <v>4.3949999999999996</v>
      </c>
      <c r="H70" s="22">
        <f t="shared" si="4"/>
        <v>0.61599999999999999</v>
      </c>
      <c r="I70" s="23">
        <f t="shared" si="5"/>
        <v>25.552325581395348</v>
      </c>
      <c r="J70" s="24"/>
    </row>
    <row r="71" spans="1:10" x14ac:dyDescent="0.3">
      <c r="A71" s="18" t="s">
        <v>78</v>
      </c>
      <c r="B71" s="19">
        <v>29.65</v>
      </c>
      <c r="C71" s="20">
        <v>2527</v>
      </c>
      <c r="D71" s="21">
        <v>1536</v>
      </c>
      <c r="E71" s="21">
        <v>266</v>
      </c>
      <c r="F71" s="21">
        <v>250</v>
      </c>
      <c r="G71" s="22">
        <f t="shared" si="3"/>
        <v>1.536</v>
      </c>
      <c r="H71" s="22">
        <f t="shared" si="4"/>
        <v>0.26600000000000001</v>
      </c>
      <c r="I71" s="23">
        <f t="shared" si="5"/>
        <v>6.1440000000000001</v>
      </c>
      <c r="J71" s="24"/>
    </row>
    <row r="72" spans="1:10" x14ac:dyDescent="0.3">
      <c r="A72" s="18" t="s">
        <v>79</v>
      </c>
      <c r="B72" s="19">
        <v>33.869999999999997</v>
      </c>
      <c r="C72" s="20">
        <v>2696</v>
      </c>
      <c r="D72" s="25" t="s">
        <v>80</v>
      </c>
      <c r="E72" s="25" t="s">
        <v>80</v>
      </c>
      <c r="F72" s="21">
        <v>3966</v>
      </c>
      <c r="G72" s="26" t="s">
        <v>81</v>
      </c>
      <c r="H72" s="26" t="s">
        <v>81</v>
      </c>
      <c r="I72" s="27" t="s">
        <v>81</v>
      </c>
      <c r="J72" s="28" t="s">
        <v>82</v>
      </c>
    </row>
    <row r="73" spans="1:10" x14ac:dyDescent="0.3">
      <c r="A73" s="18" t="s">
        <v>83</v>
      </c>
      <c r="B73" s="19">
        <v>39.65</v>
      </c>
      <c r="C73" s="20">
        <v>2528</v>
      </c>
      <c r="D73" s="25" t="s">
        <v>80</v>
      </c>
      <c r="E73" s="25" t="s">
        <v>80</v>
      </c>
      <c r="F73" s="21">
        <v>13714</v>
      </c>
      <c r="G73" s="26" t="s">
        <v>81</v>
      </c>
      <c r="H73" s="26" t="s">
        <v>81</v>
      </c>
      <c r="I73" s="27" t="s">
        <v>81</v>
      </c>
      <c r="J73" s="28" t="s">
        <v>82</v>
      </c>
    </row>
    <row r="74" spans="1:10" x14ac:dyDescent="0.3">
      <c r="A74" s="18" t="s">
        <v>84</v>
      </c>
      <c r="B74" s="19">
        <v>3.24</v>
      </c>
      <c r="C74" s="20">
        <v>1056</v>
      </c>
      <c r="D74" s="25" t="s">
        <v>80</v>
      </c>
      <c r="E74" s="25" t="s">
        <v>80</v>
      </c>
      <c r="F74" s="21">
        <v>3969</v>
      </c>
      <c r="G74" s="26" t="s">
        <v>81</v>
      </c>
      <c r="H74" s="26" t="s">
        <v>81</v>
      </c>
      <c r="I74" s="27" t="s">
        <v>81</v>
      </c>
      <c r="J74" s="28" t="s">
        <v>82</v>
      </c>
    </row>
    <row r="76" spans="1:10" x14ac:dyDescent="0.3">
      <c r="A76" s="29" t="s">
        <v>85</v>
      </c>
      <c r="B76" s="30">
        <f>SUM(B5:B74)</f>
        <v>5758.6099999999988</v>
      </c>
      <c r="D76" s="31">
        <f>MAX(D5:D74)</f>
        <v>25675</v>
      </c>
      <c r="G76" s="32">
        <f>IFERROR(MAX(G5:G74),"")</f>
        <v>25.675000000000001</v>
      </c>
      <c r="I76" s="33">
        <f>IFERROR(AVERAGE(I5:I74),"")</f>
        <v>3.0564646910026116</v>
      </c>
    </row>
    <row r="77" spans="1:10" x14ac:dyDescent="0.3">
      <c r="A77" s="34" t="s">
        <v>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87</v>
      </c>
    </row>
    <row r="3" spans="1:2" ht="30" customHeight="1" x14ac:dyDescent="0.3">
      <c r="A3" s="36" t="s">
        <v>88</v>
      </c>
      <c r="B3" s="37" t="s">
        <v>89</v>
      </c>
    </row>
    <row r="4" spans="1:2" ht="30" customHeight="1" x14ac:dyDescent="0.3">
      <c r="A4" s="36" t="s">
        <v>90</v>
      </c>
      <c r="B4" s="37" t="s">
        <v>91</v>
      </c>
    </row>
    <row r="5" spans="1:2" ht="30" customHeight="1" x14ac:dyDescent="0.3">
      <c r="A5" s="36" t="s">
        <v>92</v>
      </c>
      <c r="B5" s="37" t="s">
        <v>93</v>
      </c>
    </row>
    <row r="6" spans="1:2" ht="30" customHeight="1" x14ac:dyDescent="0.3">
      <c r="A6" s="36" t="s">
        <v>94</v>
      </c>
      <c r="B6" s="37" t="s">
        <v>95</v>
      </c>
    </row>
    <row r="7" spans="1:2" ht="30" customHeight="1" x14ac:dyDescent="0.3">
      <c r="A7" s="36" t="s">
        <v>96</v>
      </c>
      <c r="B7" s="37" t="s">
        <v>97</v>
      </c>
    </row>
    <row r="8" spans="1:2" ht="30" customHeight="1" x14ac:dyDescent="0.3">
      <c r="A8" s="36" t="s">
        <v>98</v>
      </c>
      <c r="B8" s="37" t="s">
        <v>99</v>
      </c>
    </row>
    <row r="9" spans="1:2" ht="30" customHeight="1" x14ac:dyDescent="0.3">
      <c r="A9" s="36" t="s">
        <v>100</v>
      </c>
      <c r="B9" s="37" t="s">
        <v>101</v>
      </c>
    </row>
    <row r="10" spans="1:2" ht="30" customHeight="1" x14ac:dyDescent="0.3">
      <c r="A10" s="36" t="s">
        <v>102</v>
      </c>
      <c r="B10" s="37" t="s">
        <v>103</v>
      </c>
    </row>
    <row r="11" spans="1:2" ht="30" customHeight="1" x14ac:dyDescent="0.3">
      <c r="A11" s="36" t="s">
        <v>104</v>
      </c>
      <c r="B11" s="37" t="s">
        <v>105</v>
      </c>
    </row>
    <row r="12" spans="1:2" ht="30" customHeight="1" x14ac:dyDescent="0.3">
      <c r="A12" s="36" t="s">
        <v>106</v>
      </c>
      <c r="B12" s="37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2026-09-16T13:55:43Z</dcterms:created>
  <dcterms:modified xsi:type="dcterms:W3CDTF">2026-09-16T13:56:16Z</dcterms:modified>
</cp:coreProperties>
</file>