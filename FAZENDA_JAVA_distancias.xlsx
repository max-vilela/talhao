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color rgb="00C00000"/>
      <sz val="10"/>
    </font>
    <font>
      <name val="Arial"/>
      <i val="1"/>
      <color rgb="00C00000"/>
      <sz val="9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7" fillId="4" borderId="1" pivotButton="0" quotePrefix="0" xfId="0"/>
    <xf numFmtId="3" fontId="8" fillId="3" borderId="1" pivotButton="0" quotePrefix="0" xfId="0"/>
    <xf numFmtId="4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0" fontId="9" fillId="3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JAVA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T-01A</t>
        </is>
      </c>
      <c r="B5" s="5" t="n">
        <v>109.74</v>
      </c>
      <c r="C5" s="6" t="n">
        <v>5134</v>
      </c>
      <c r="D5" s="7" t="n">
        <v>6695</v>
      </c>
      <c r="E5" s="7" t="n">
        <v>4138</v>
      </c>
      <c r="F5" s="7" t="n">
        <v>3555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T-05</t>
        </is>
      </c>
      <c r="B6" s="12" t="n">
        <v>114.01</v>
      </c>
      <c r="C6" s="13" t="n">
        <v>5071</v>
      </c>
      <c r="D6" s="14" t="n">
        <v>6405</v>
      </c>
      <c r="E6" s="14" t="n">
        <v>3949</v>
      </c>
      <c r="F6" s="14" t="n">
        <v>2084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11" t="inlineStr">
        <is>
          <t>T-07C</t>
        </is>
      </c>
      <c r="B7" s="12" t="n">
        <v>54.78</v>
      </c>
      <c r="C7" s="13" t="n">
        <v>3399</v>
      </c>
      <c r="D7" s="14" t="n">
        <v>6351</v>
      </c>
      <c r="E7" s="14" t="n">
        <v>4680</v>
      </c>
      <c r="F7" s="14" t="n">
        <v>2115</v>
      </c>
      <c r="G7" s="15">
        <f>D7/1000</f>
        <v/>
      </c>
      <c r="H7" s="15">
        <f>E7/1000</f>
        <v/>
      </c>
      <c r="I7" s="16">
        <f>IFERROR(D7/F7,"")</f>
        <v/>
      </c>
      <c r="J7" s="17" t="inlineStr"/>
    </row>
    <row r="8">
      <c r="A8" s="18" t="inlineStr">
        <is>
          <t>T-09B</t>
        </is>
      </c>
      <c r="B8" s="19" t="n">
        <v>51.45</v>
      </c>
      <c r="C8" s="20" t="n">
        <v>3530</v>
      </c>
      <c r="D8" s="21" t="n">
        <v>6232</v>
      </c>
      <c r="E8" s="21" t="n">
        <v>4529</v>
      </c>
      <c r="F8" s="21" t="n">
        <v>2736</v>
      </c>
      <c r="G8" s="22">
        <f>D8/1000</f>
        <v/>
      </c>
      <c r="H8" s="22">
        <f>E8/1000</f>
        <v/>
      </c>
      <c r="I8" s="23">
        <f>IFERROR(D8/F8,"")</f>
        <v/>
      </c>
      <c r="J8" s="24" t="inlineStr"/>
    </row>
    <row r="9">
      <c r="A9" s="4" t="inlineStr">
        <is>
          <t>T-03A</t>
        </is>
      </c>
      <c r="B9" s="5" t="n">
        <v>108.06</v>
      </c>
      <c r="C9" s="6" t="n">
        <v>5283</v>
      </c>
      <c r="D9" s="7" t="n">
        <v>5885</v>
      </c>
      <c r="E9" s="7" t="n">
        <v>3953</v>
      </c>
      <c r="F9" s="7" t="n">
        <v>2445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8" t="inlineStr">
        <is>
          <t>T-07B</t>
        </is>
      </c>
      <c r="B10" s="19" t="n">
        <v>63.94</v>
      </c>
      <c r="C10" s="20" t="n">
        <v>3736</v>
      </c>
      <c r="D10" s="21" t="n">
        <v>5881</v>
      </c>
      <c r="E10" s="21" t="n">
        <v>4329</v>
      </c>
      <c r="F10" s="21" t="n">
        <v>2244</v>
      </c>
      <c r="G10" s="22">
        <f>D10/1000</f>
        <v/>
      </c>
      <c r="H10" s="22">
        <f>E10/1000</f>
        <v/>
      </c>
      <c r="I10" s="23">
        <f>IFERROR(D10/F10,"")</f>
        <v/>
      </c>
      <c r="J10" s="24" t="inlineStr"/>
    </row>
    <row r="11">
      <c r="A11" s="4" t="inlineStr">
        <is>
          <t>T-01</t>
        </is>
      </c>
      <c r="B11" s="5" t="n">
        <v>110.23</v>
      </c>
      <c r="C11" s="6" t="n">
        <v>5065</v>
      </c>
      <c r="D11" s="7" t="n">
        <v>5740</v>
      </c>
      <c r="E11" s="7" t="n">
        <v>3218</v>
      </c>
      <c r="F11" s="7" t="n">
        <v>2669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8" t="inlineStr">
        <is>
          <t>T-09A</t>
        </is>
      </c>
      <c r="B12" s="19" t="n">
        <v>51.15</v>
      </c>
      <c r="C12" s="20" t="n">
        <v>3147</v>
      </c>
      <c r="D12" s="21" t="n">
        <v>5597</v>
      </c>
      <c r="E12" s="21" t="n">
        <v>4041</v>
      </c>
      <c r="F12" s="21" t="n">
        <v>2720</v>
      </c>
      <c r="G12" s="22">
        <f>D12/1000</f>
        <v/>
      </c>
      <c r="H12" s="22">
        <f>E12/1000</f>
        <v/>
      </c>
      <c r="I12" s="23">
        <f>IFERROR(D12/F12,"")</f>
        <v/>
      </c>
      <c r="J12" s="24" t="inlineStr"/>
    </row>
    <row r="13">
      <c r="A13" s="11" t="inlineStr">
        <is>
          <t>T-01C</t>
        </is>
      </c>
      <c r="B13" s="12" t="n">
        <v>114.58</v>
      </c>
      <c r="C13" s="13" t="n">
        <v>5085</v>
      </c>
      <c r="D13" s="14" t="n">
        <v>5389</v>
      </c>
      <c r="E13" s="14" t="n">
        <v>2983</v>
      </c>
      <c r="F13" s="14" t="n">
        <v>1346</v>
      </c>
      <c r="G13" s="15">
        <f>D13/1000</f>
        <v/>
      </c>
      <c r="H13" s="15">
        <f>E13/1000</f>
        <v/>
      </c>
      <c r="I13" s="16">
        <f>IFERROR(D13/F13,"")</f>
        <v/>
      </c>
      <c r="J13" s="17" t="inlineStr"/>
    </row>
    <row r="14">
      <c r="A14" s="11" t="inlineStr">
        <is>
          <t>T-07D</t>
        </is>
      </c>
      <c r="B14" s="12" t="n">
        <v>43.25</v>
      </c>
      <c r="C14" s="13" t="n">
        <v>3108</v>
      </c>
      <c r="D14" s="14" t="n">
        <v>5336</v>
      </c>
      <c r="E14" s="14" t="n">
        <v>3804</v>
      </c>
      <c r="F14" s="14" t="n">
        <v>1623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4" t="inlineStr">
        <is>
          <t>T-07A</t>
        </is>
      </c>
      <c r="B15" s="5" t="n">
        <v>50.64</v>
      </c>
      <c r="C15" s="6" t="n">
        <v>3002</v>
      </c>
      <c r="D15" s="7" t="n">
        <v>4917</v>
      </c>
      <c r="E15" s="7" t="n">
        <v>3633</v>
      </c>
      <c r="F15" s="7" t="n">
        <v>1983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T-03B</t>
        </is>
      </c>
      <c r="B16" s="12" t="n">
        <v>113.04</v>
      </c>
      <c r="C16" s="13" t="n">
        <v>5041</v>
      </c>
      <c r="D16" s="14" t="n">
        <v>4810</v>
      </c>
      <c r="E16" s="14" t="n">
        <v>2998</v>
      </c>
      <c r="F16" s="14" t="n">
        <v>1508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11" t="inlineStr">
        <is>
          <t>T-02</t>
        </is>
      </c>
      <c r="B17" s="12" t="n">
        <v>210.74</v>
      </c>
      <c r="C17" s="13" t="n">
        <v>9468</v>
      </c>
      <c r="D17" s="14" t="n">
        <v>4707</v>
      </c>
      <c r="E17" s="14" t="n">
        <v>1223</v>
      </c>
      <c r="F17" s="14" t="n">
        <v>976</v>
      </c>
      <c r="G17" s="15">
        <f>D17/1000</f>
        <v/>
      </c>
      <c r="H17" s="15">
        <f>E17/1000</f>
        <v/>
      </c>
      <c r="I17" s="16">
        <f>IFERROR(D17/F17,"")</f>
        <v/>
      </c>
      <c r="J17" s="17" t="inlineStr"/>
    </row>
    <row r="18">
      <c r="A18" s="11" t="inlineStr">
        <is>
          <t>T-06D</t>
        </is>
      </c>
      <c r="B18" s="12" t="n">
        <v>148.91</v>
      </c>
      <c r="C18" s="13" t="n">
        <v>5858</v>
      </c>
      <c r="D18" s="14" t="n">
        <v>4359</v>
      </c>
      <c r="E18" s="14" t="n">
        <v>2016</v>
      </c>
      <c r="F18" s="14" t="n">
        <v>617</v>
      </c>
      <c r="G18" s="15">
        <f>D18/1000</f>
        <v/>
      </c>
      <c r="H18" s="15">
        <f>E18/1000</f>
        <v/>
      </c>
      <c r="I18" s="16">
        <f>IFERROR(D18/F18,"")</f>
        <v/>
      </c>
      <c r="J18" s="17" t="inlineStr"/>
    </row>
    <row r="19">
      <c r="A19" s="11" t="inlineStr">
        <is>
          <t>T-06E</t>
        </is>
      </c>
      <c r="B19" s="12" t="n">
        <v>264.72</v>
      </c>
      <c r="C19" s="13" t="n">
        <v>6929</v>
      </c>
      <c r="D19" s="14" t="n">
        <v>4353</v>
      </c>
      <c r="E19" s="14" t="n">
        <v>986</v>
      </c>
      <c r="F19" s="14" t="n">
        <v>399</v>
      </c>
      <c r="G19" s="15">
        <f>D19/1000</f>
        <v/>
      </c>
      <c r="H19" s="15">
        <f>E19/1000</f>
        <v/>
      </c>
      <c r="I19" s="16">
        <f>IFERROR(D19/F19,"")</f>
        <v/>
      </c>
      <c r="J19" s="17" t="inlineStr"/>
    </row>
    <row r="20">
      <c r="A20" s="11" t="inlineStr">
        <is>
          <t>T-06B</t>
        </is>
      </c>
      <c r="B20" s="12" t="n">
        <v>73.88</v>
      </c>
      <c r="C20" s="13" t="n">
        <v>4134</v>
      </c>
      <c r="D20" s="14" t="n">
        <v>4319</v>
      </c>
      <c r="E20" s="14" t="n">
        <v>2888</v>
      </c>
      <c r="F20" s="14" t="n">
        <v>1134</v>
      </c>
      <c r="G20" s="15">
        <f>D20/1000</f>
        <v/>
      </c>
      <c r="H20" s="15">
        <f>E20/1000</f>
        <v/>
      </c>
      <c r="I20" s="16">
        <f>IFERROR(D20/F20,"")</f>
        <v/>
      </c>
      <c r="J20" s="17" t="inlineStr"/>
    </row>
    <row r="21">
      <c r="A21" s="4" t="inlineStr">
        <is>
          <t>T-08A</t>
        </is>
      </c>
      <c r="B21" s="5" t="n">
        <v>14.18</v>
      </c>
      <c r="C21" s="6" t="n">
        <v>1756</v>
      </c>
      <c r="D21" s="7" t="n">
        <v>3961</v>
      </c>
      <c r="E21" s="7" t="n">
        <v>3089</v>
      </c>
      <c r="F21" s="7" t="n">
        <v>1985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/>
    </row>
    <row r="22">
      <c r="A22" s="11" t="inlineStr">
        <is>
          <t>T-06C</t>
        </is>
      </c>
      <c r="B22" s="12" t="n">
        <v>31.74</v>
      </c>
      <c r="C22" s="13" t="n">
        <v>2739</v>
      </c>
      <c r="D22" s="14" t="n">
        <v>3951</v>
      </c>
      <c r="E22" s="14" t="n">
        <v>2588</v>
      </c>
      <c r="F22" s="14" t="n">
        <v>826</v>
      </c>
      <c r="G22" s="15">
        <f>D22/1000</f>
        <v/>
      </c>
      <c r="H22" s="15">
        <f>E22/1000</f>
        <v/>
      </c>
      <c r="I22" s="16">
        <f>IFERROR(D22/F22,"")</f>
        <v/>
      </c>
      <c r="J22" s="17" t="inlineStr"/>
    </row>
    <row r="23">
      <c r="A23" s="11" t="inlineStr">
        <is>
          <t>T-04A</t>
        </is>
      </c>
      <c r="B23" s="12" t="n">
        <v>100.42</v>
      </c>
      <c r="C23" s="13" t="n">
        <v>5093</v>
      </c>
      <c r="D23" s="14" t="n">
        <v>3851</v>
      </c>
      <c r="E23" s="14" t="n">
        <v>2036</v>
      </c>
      <c r="F23" s="14" t="n">
        <v>615</v>
      </c>
      <c r="G23" s="15">
        <f>D23/1000</f>
        <v/>
      </c>
      <c r="H23" s="15">
        <f>E23/1000</f>
        <v/>
      </c>
      <c r="I23" s="16">
        <f>IFERROR(D23/F23,"")</f>
        <v/>
      </c>
      <c r="J23" s="17" t="inlineStr"/>
    </row>
    <row r="24">
      <c r="A24" s="11" t="inlineStr">
        <is>
          <t>T-04B</t>
        </is>
      </c>
      <c r="B24" s="12" t="n">
        <v>51.93</v>
      </c>
      <c r="C24" s="13" t="n">
        <v>3411</v>
      </c>
      <c r="D24" s="14" t="n">
        <v>3716</v>
      </c>
      <c r="E24" s="14" t="n">
        <v>2033</v>
      </c>
      <c r="F24" s="14" t="n">
        <v>632</v>
      </c>
      <c r="G24" s="15">
        <f>D24/1000</f>
        <v/>
      </c>
      <c r="H24" s="15">
        <f>E24/1000</f>
        <v/>
      </c>
      <c r="I24" s="16">
        <f>IFERROR(D24/F24,"")</f>
        <v/>
      </c>
      <c r="J24" s="17" t="inlineStr"/>
    </row>
    <row r="25">
      <c r="A25" s="11" t="inlineStr">
        <is>
          <t>T-04</t>
        </is>
      </c>
      <c r="B25" s="12" t="n">
        <v>107.45</v>
      </c>
      <c r="C25" s="13" t="n">
        <v>5565</v>
      </c>
      <c r="D25" s="14" t="n">
        <v>2864</v>
      </c>
      <c r="E25" s="14" t="n">
        <v>97</v>
      </c>
      <c r="F25" s="14" t="n">
        <v>96</v>
      </c>
      <c r="G25" s="15">
        <f>D25/1000</f>
        <v/>
      </c>
      <c r="H25" s="15">
        <f>E25/1000</f>
        <v/>
      </c>
      <c r="I25" s="16">
        <f>IFERROR(D25/F25,"")</f>
        <v/>
      </c>
      <c r="J25" s="17" t="inlineStr"/>
    </row>
    <row r="26">
      <c r="A26" s="11" t="inlineStr">
        <is>
          <t>T-10A</t>
        </is>
      </c>
      <c r="B26" s="12" t="n">
        <v>67.81999999999999</v>
      </c>
      <c r="C26" s="13" t="n">
        <v>4140</v>
      </c>
      <c r="D26" s="25" t="inlineStr">
        <is>
          <t>sem acesso</t>
        </is>
      </c>
      <c r="E26" s="25" t="inlineStr">
        <is>
          <t>sem acesso</t>
        </is>
      </c>
      <c r="F26" s="14" t="n">
        <v>6205</v>
      </c>
      <c r="G26" s="26" t="inlineStr">
        <is>
          <t>—</t>
        </is>
      </c>
      <c r="H26" s="26" t="inlineStr">
        <is>
          <t>—</t>
        </is>
      </c>
      <c r="I26" s="27" t="inlineStr">
        <is>
          <t>—</t>
        </is>
      </c>
      <c r="J26" s="28" t="inlineStr">
        <is>
          <t>sem estrada até este talhão</t>
        </is>
      </c>
    </row>
    <row r="27">
      <c r="A27" s="11" t="inlineStr">
        <is>
          <t>T-11A</t>
        </is>
      </c>
      <c r="B27" s="12" t="n">
        <v>61.24</v>
      </c>
      <c r="C27" s="13" t="n">
        <v>3271</v>
      </c>
      <c r="D27" s="25" t="inlineStr">
        <is>
          <t>sem acesso</t>
        </is>
      </c>
      <c r="E27" s="25" t="inlineStr">
        <is>
          <t>sem acesso</t>
        </is>
      </c>
      <c r="F27" s="14" t="n">
        <v>6767</v>
      </c>
      <c r="G27" s="26" t="inlineStr">
        <is>
          <t>—</t>
        </is>
      </c>
      <c r="H27" s="26" t="inlineStr">
        <is>
          <t>—</t>
        </is>
      </c>
      <c r="I27" s="27" t="inlineStr">
        <is>
          <t>—</t>
        </is>
      </c>
      <c r="J27" s="28" t="inlineStr">
        <is>
          <t>sem estrada até este talhão</t>
        </is>
      </c>
    </row>
    <row r="28">
      <c r="A28" s="11" t="inlineStr">
        <is>
          <t>T-11B</t>
        </is>
      </c>
      <c r="B28" s="12" t="n">
        <v>46.69</v>
      </c>
      <c r="C28" s="13" t="n">
        <v>3078</v>
      </c>
      <c r="D28" s="25" t="inlineStr">
        <is>
          <t>sem acesso</t>
        </is>
      </c>
      <c r="E28" s="25" t="inlineStr">
        <is>
          <t>sem acesso</t>
        </is>
      </c>
      <c r="F28" s="14" t="n">
        <v>5995</v>
      </c>
      <c r="G28" s="26" t="inlineStr">
        <is>
          <t>—</t>
        </is>
      </c>
      <c r="H28" s="26" t="inlineStr">
        <is>
          <t>—</t>
        </is>
      </c>
      <c r="I28" s="27" t="inlineStr">
        <is>
          <t>—</t>
        </is>
      </c>
      <c r="J28" s="28" t="inlineStr">
        <is>
          <t>sem estrada até este talhão</t>
        </is>
      </c>
    </row>
    <row r="29">
      <c r="A29" s="11" t="inlineStr">
        <is>
          <t>T-11C</t>
        </is>
      </c>
      <c r="B29" s="12" t="n">
        <v>52.01</v>
      </c>
      <c r="C29" s="13" t="n">
        <v>3100</v>
      </c>
      <c r="D29" s="25" t="inlineStr">
        <is>
          <t>sem acesso</t>
        </is>
      </c>
      <c r="E29" s="25" t="inlineStr">
        <is>
          <t>sem acesso</t>
        </is>
      </c>
      <c r="F29" s="14" t="n">
        <v>5662</v>
      </c>
      <c r="G29" s="26" t="inlineStr">
        <is>
          <t>—</t>
        </is>
      </c>
      <c r="H29" s="26" t="inlineStr">
        <is>
          <t>—</t>
        </is>
      </c>
      <c r="I29" s="27" t="inlineStr">
        <is>
          <t>—</t>
        </is>
      </c>
      <c r="J29" s="28" t="inlineStr">
        <is>
          <t>sem estrada até este talhão</t>
        </is>
      </c>
    </row>
    <row r="30">
      <c r="A30" s="11" t="inlineStr">
        <is>
          <t>T-11D</t>
        </is>
      </c>
      <c r="B30" s="12" t="n">
        <v>70.47</v>
      </c>
      <c r="C30" s="13" t="n">
        <v>3481</v>
      </c>
      <c r="D30" s="25" t="inlineStr">
        <is>
          <t>sem acesso</t>
        </is>
      </c>
      <c r="E30" s="25" t="inlineStr">
        <is>
          <t>sem acesso</t>
        </is>
      </c>
      <c r="F30" s="14" t="n">
        <v>6319</v>
      </c>
      <c r="G30" s="26" t="inlineStr">
        <is>
          <t>—</t>
        </is>
      </c>
      <c r="H30" s="26" t="inlineStr">
        <is>
          <t>—</t>
        </is>
      </c>
      <c r="I30" s="27" t="inlineStr">
        <is>
          <t>—</t>
        </is>
      </c>
      <c r="J30" s="28" t="inlineStr">
        <is>
          <t>sem estrada até este talhão</t>
        </is>
      </c>
    </row>
    <row r="31">
      <c r="A31" s="11" t="inlineStr">
        <is>
          <t>T-12A</t>
        </is>
      </c>
      <c r="B31" s="12" t="n">
        <v>263.78</v>
      </c>
      <c r="C31" s="13" t="n">
        <v>6934</v>
      </c>
      <c r="D31" s="25" t="inlineStr">
        <is>
          <t>sem acesso</t>
        </is>
      </c>
      <c r="E31" s="25" t="inlineStr">
        <is>
          <t>sem acesso</t>
        </is>
      </c>
      <c r="F31" s="14" t="n">
        <v>6449</v>
      </c>
      <c r="G31" s="26" t="inlineStr">
        <is>
          <t>—</t>
        </is>
      </c>
      <c r="H31" s="26" t="inlineStr">
        <is>
          <t>—</t>
        </is>
      </c>
      <c r="I31" s="27" t="inlineStr">
        <is>
          <t>—</t>
        </is>
      </c>
      <c r="J31" s="28" t="inlineStr">
        <is>
          <t>sem estrada até este talhão</t>
        </is>
      </c>
    </row>
    <row r="32">
      <c r="A32" s="11" t="inlineStr">
        <is>
          <t>T-13A</t>
        </is>
      </c>
      <c r="B32" s="12" t="n">
        <v>53.65</v>
      </c>
      <c r="C32" s="13" t="n">
        <v>3197</v>
      </c>
      <c r="D32" s="25" t="inlineStr">
        <is>
          <t>sem acesso</t>
        </is>
      </c>
      <c r="E32" s="25" t="inlineStr">
        <is>
          <t>sem acesso</t>
        </is>
      </c>
      <c r="F32" s="14" t="n">
        <v>7258</v>
      </c>
      <c r="G32" s="26" t="inlineStr">
        <is>
          <t>—</t>
        </is>
      </c>
      <c r="H32" s="26" t="inlineStr">
        <is>
          <t>—</t>
        </is>
      </c>
      <c r="I32" s="27" t="inlineStr">
        <is>
          <t>—</t>
        </is>
      </c>
      <c r="J32" s="28" t="inlineStr">
        <is>
          <t>sem estrada até este talhão</t>
        </is>
      </c>
    </row>
    <row r="33">
      <c r="A33" s="11" t="inlineStr">
        <is>
          <t>T-13B</t>
        </is>
      </c>
      <c r="B33" s="12" t="n">
        <v>58.52</v>
      </c>
      <c r="C33" s="13" t="n">
        <v>3110</v>
      </c>
      <c r="D33" s="25" t="inlineStr">
        <is>
          <t>sem acesso</t>
        </is>
      </c>
      <c r="E33" s="25" t="inlineStr">
        <is>
          <t>sem acesso</t>
        </is>
      </c>
      <c r="F33" s="14" t="n">
        <v>7804</v>
      </c>
      <c r="G33" s="26" t="inlineStr">
        <is>
          <t>—</t>
        </is>
      </c>
      <c r="H33" s="26" t="inlineStr">
        <is>
          <t>—</t>
        </is>
      </c>
      <c r="I33" s="27" t="inlineStr">
        <is>
          <t>—</t>
        </is>
      </c>
      <c r="J33" s="28" t="inlineStr">
        <is>
          <t>sem estrada até este talhão</t>
        </is>
      </c>
    </row>
    <row r="34">
      <c r="A34" s="11" t="inlineStr">
        <is>
          <t>T-13C</t>
        </is>
      </c>
      <c r="B34" s="12" t="n">
        <v>54.2</v>
      </c>
      <c r="C34" s="13" t="n">
        <v>2992</v>
      </c>
      <c r="D34" s="25" t="inlineStr">
        <is>
          <t>sem acesso</t>
        </is>
      </c>
      <c r="E34" s="25" t="inlineStr">
        <is>
          <t>sem acesso</t>
        </is>
      </c>
      <c r="F34" s="14" t="n">
        <v>8271</v>
      </c>
      <c r="G34" s="26" t="inlineStr">
        <is>
          <t>—</t>
        </is>
      </c>
      <c r="H34" s="26" t="inlineStr">
        <is>
          <t>—</t>
        </is>
      </c>
      <c r="I34" s="27" t="inlineStr">
        <is>
          <t>—</t>
        </is>
      </c>
      <c r="J34" s="28" t="inlineStr">
        <is>
          <t>sem estrada até este talhão</t>
        </is>
      </c>
    </row>
    <row r="35">
      <c r="A35" s="11" t="inlineStr">
        <is>
          <t>T-13D</t>
        </is>
      </c>
      <c r="B35" s="12" t="n">
        <v>61.56</v>
      </c>
      <c r="C35" s="13" t="n">
        <v>3161</v>
      </c>
      <c r="D35" s="25" t="inlineStr">
        <is>
          <t>sem acesso</t>
        </is>
      </c>
      <c r="E35" s="25" t="inlineStr">
        <is>
          <t>sem acesso</t>
        </is>
      </c>
      <c r="F35" s="14" t="n">
        <v>7589</v>
      </c>
      <c r="G35" s="26" t="inlineStr">
        <is>
          <t>—</t>
        </is>
      </c>
      <c r="H35" s="26" t="inlineStr">
        <is>
          <t>—</t>
        </is>
      </c>
      <c r="I35" s="27" t="inlineStr">
        <is>
          <t>—</t>
        </is>
      </c>
      <c r="J35" s="28" t="inlineStr">
        <is>
          <t>sem estrada até este talhão</t>
        </is>
      </c>
    </row>
    <row r="36">
      <c r="A36" s="11" t="inlineStr">
        <is>
          <t>T-14A</t>
        </is>
      </c>
      <c r="B36" s="12" t="n">
        <v>99.15000000000001</v>
      </c>
      <c r="C36" s="13" t="n">
        <v>4640</v>
      </c>
      <c r="D36" s="25" t="inlineStr">
        <is>
          <t>sem acesso</t>
        </is>
      </c>
      <c r="E36" s="25" t="inlineStr">
        <is>
          <t>sem acesso</t>
        </is>
      </c>
      <c r="F36" s="14" t="n">
        <v>5179</v>
      </c>
      <c r="G36" s="26" t="inlineStr">
        <is>
          <t>—</t>
        </is>
      </c>
      <c r="H36" s="26" t="inlineStr">
        <is>
          <t>—</t>
        </is>
      </c>
      <c r="I36" s="27" t="inlineStr">
        <is>
          <t>—</t>
        </is>
      </c>
      <c r="J36" s="28" t="inlineStr">
        <is>
          <t>sem estrada até este talhão</t>
        </is>
      </c>
    </row>
    <row r="37">
      <c r="A37" s="11" t="inlineStr">
        <is>
          <t>T-14D</t>
        </is>
      </c>
      <c r="B37" s="12" t="n">
        <v>96.37</v>
      </c>
      <c r="C37" s="13" t="n">
        <v>4536</v>
      </c>
      <c r="D37" s="25" t="inlineStr">
        <is>
          <t>sem acesso</t>
        </is>
      </c>
      <c r="E37" s="25" t="inlineStr">
        <is>
          <t>sem acesso</t>
        </is>
      </c>
      <c r="F37" s="14" t="n">
        <v>5221</v>
      </c>
      <c r="G37" s="26" t="inlineStr">
        <is>
          <t>—</t>
        </is>
      </c>
      <c r="H37" s="26" t="inlineStr">
        <is>
          <t>—</t>
        </is>
      </c>
      <c r="I37" s="27" t="inlineStr">
        <is>
          <t>—</t>
        </is>
      </c>
      <c r="J37" s="28" t="inlineStr">
        <is>
          <t>sem estrada até este talhão</t>
        </is>
      </c>
    </row>
    <row r="38">
      <c r="A38" s="11" t="inlineStr">
        <is>
          <t>T-15B</t>
        </is>
      </c>
      <c r="B38" s="12" t="n">
        <v>143</v>
      </c>
      <c r="C38" s="13" t="n">
        <v>5499</v>
      </c>
      <c r="D38" s="25" t="inlineStr">
        <is>
          <t>sem acesso</t>
        </is>
      </c>
      <c r="E38" s="25" t="inlineStr">
        <is>
          <t>sem acesso</t>
        </is>
      </c>
      <c r="F38" s="14" t="n">
        <v>3994</v>
      </c>
      <c r="G38" s="26" t="inlineStr">
        <is>
          <t>—</t>
        </is>
      </c>
      <c r="H38" s="26" t="inlineStr">
        <is>
          <t>—</t>
        </is>
      </c>
      <c r="I38" s="27" t="inlineStr">
        <is>
          <t>—</t>
        </is>
      </c>
      <c r="J38" s="28" t="inlineStr">
        <is>
          <t>sem estrada até este talhão</t>
        </is>
      </c>
    </row>
    <row r="39">
      <c r="A39" s="11" t="inlineStr">
        <is>
          <t>T-15C</t>
        </is>
      </c>
      <c r="B39" s="12" t="n">
        <v>95.86</v>
      </c>
      <c r="C39" s="13" t="n">
        <v>4455</v>
      </c>
      <c r="D39" s="25" t="inlineStr">
        <is>
          <t>sem acesso</t>
        </is>
      </c>
      <c r="E39" s="25" t="inlineStr">
        <is>
          <t>sem acesso</t>
        </is>
      </c>
      <c r="F39" s="14" t="n">
        <v>3761</v>
      </c>
      <c r="G39" s="26" t="inlineStr">
        <is>
          <t>—</t>
        </is>
      </c>
      <c r="H39" s="26" t="inlineStr">
        <is>
          <t>—</t>
        </is>
      </c>
      <c r="I39" s="27" t="inlineStr">
        <is>
          <t>—</t>
        </is>
      </c>
      <c r="J39" s="28" t="inlineStr">
        <is>
          <t>sem estrada até este talhão</t>
        </is>
      </c>
    </row>
    <row r="41">
      <c r="A41" s="29" t="inlineStr">
        <is>
          <t>TOTAL / MÁXIMO</t>
        </is>
      </c>
      <c r="B41" s="30">
        <f>SUM(B5:B39)</f>
        <v/>
      </c>
      <c r="D41" s="31">
        <f>MAX(IFERROR(D5:D39*1,0))</f>
        <v/>
      </c>
      <c r="G41" s="32">
        <f>IFERROR(MAX(G5:G39),"")</f>
        <v/>
      </c>
      <c r="I41" s="33">
        <f>IFERROR(AVERAGE(I5:I39),"")</f>
        <v/>
      </c>
    </row>
    <row r="42">
      <c r="A42" s="34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5" t="inlineStr">
        <is>
          <t>Como estes números foram calculados</t>
        </is>
      </c>
    </row>
    <row r="3" ht="30" customHeight="1">
      <c r="A3" s="36" t="inlineStr">
        <is>
          <t>Origem</t>
        </is>
      </c>
      <c r="B3" s="37" t="inlineStr">
        <is>
          <t>Ponto de sede do projeto do Google Earth (-13.551609, -57.613586).</t>
        </is>
      </c>
    </row>
    <row r="4" ht="30" customHeight="1">
      <c r="A4" s="36" t="inlineStr">
        <is>
          <t>Talhões</t>
        </is>
      </c>
      <c r="B4" s="37" t="inlineStr">
        <is>
          <t>35 polígonos da pasta FAZENDA JAVA.</t>
        </is>
      </c>
    </row>
    <row r="5" ht="30" customHeight="1">
      <c r="A5" s="36" t="inlineStr">
        <is>
          <t>Malha de estradas</t>
        </is>
      </c>
      <c r="B5" s="37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6" t="inlineStr">
        <is>
          <t>Dist. máxima</t>
        </is>
      </c>
      <c r="B6" s="37" t="inlineStr">
        <is>
          <t>Menor caminho pela estrada, da sede até o ponto MAIS EXTREMO do perímetro do talhão. Não corta por dentro da lavoura.</t>
        </is>
      </c>
    </row>
    <row r="7" ht="30" customHeight="1">
      <c r="A7" s="36" t="inlineStr">
        <is>
          <t>Dist. mínima</t>
        </is>
      </c>
      <c r="B7" s="37" t="inlineStr">
        <is>
          <t>Menor caminho pela estrada, da sede até o ponto de acesso mais próximo.</t>
        </is>
      </c>
    </row>
    <row r="8" ht="30" customHeight="1">
      <c r="A8" s="36" t="inlineStr">
        <is>
          <t>Linha reta</t>
        </is>
      </c>
      <c r="B8" s="37" t="inlineStr">
        <is>
          <t>Distância em linha reta da sede até a borda do talhão. Só referência.</t>
        </is>
      </c>
    </row>
    <row r="9" ht="30" customHeight="1">
      <c r="A9" s="36" t="inlineStr">
        <is>
          <t>Fator</t>
        </is>
      </c>
      <c r="B9" s="37" t="inlineStr">
        <is>
          <t>Dist. máxima ÷ linha reta. Fator alto = rota indireta, ou estrada faltando na malha.</t>
        </is>
      </c>
    </row>
    <row r="10" ht="30" customHeight="1">
      <c r="A10" s="36" t="inlineStr">
        <is>
          <t>Coordenadas</t>
        </is>
      </c>
      <c r="B10" s="37" t="inlineStr">
        <is>
          <t>SIRGAS 2000 / UTM 21S (EPSG:31981) para distâncias e áreas.</t>
        </is>
      </c>
    </row>
    <row r="11" ht="30" customHeight="1">
      <c r="A11" s="36" t="inlineStr">
        <is>
          <t>Resolução</t>
        </is>
      </c>
      <c r="B11" s="37" t="inlineStr">
        <is>
          <t>Malha densificada a cada 25 m — é a precisão do 'ponto mais extremo'.</t>
        </is>
      </c>
    </row>
    <row r="12" ht="30" customHeight="1">
      <c r="A12" s="36" t="inlineStr">
        <is>
          <t>Validação</t>
        </is>
      </c>
      <c r="B12" s="37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2026-09-14T13:59:33Z</dcterms:created>
  <dcterms:modified xmlns:dcterms="http://purl.org/dc/terms/" xmlns:xsi="http://www.w3.org/2001/XMLSchema-instance" xsi:type="dcterms:W3CDTF">2026-09-14T13:59:33Z</dcterms:modified>
</cp:coreProperties>
</file>