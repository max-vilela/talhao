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talhoes-distancias\saidas\"/>
    </mc:Choice>
  </mc:AlternateContent>
  <xr:revisionPtr revIDLastSave="0" documentId="13_ncr:1_{92708C46-3F8D-4523-A357-0D50962CC1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stâncias" sheetId="1" r:id="rId1"/>
    <sheet name="Premiss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" l="1"/>
  <c r="B75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G75" i="1" l="1"/>
  <c r="I75" i="1"/>
</calcChain>
</file>

<file path=xl/sharedStrings.xml><?xml version="1.0" encoding="utf-8"?>
<sst xmlns="http://schemas.openxmlformats.org/spreadsheetml/2006/main" count="104" uniqueCount="104">
  <si>
    <t>FAZENDA TUCANO — distância dos talhões até a sede</t>
  </si>
  <si>
    <t>Percurso pelas estradas/carreadores, até o ponto mais extremo do talhão.</t>
  </si>
  <si>
    <t>Talhão</t>
  </si>
  <si>
    <t>Área (ha)</t>
  </si>
  <si>
    <t>Perímetro (m)</t>
  </si>
  <si>
    <t>Dist. máxima (m)</t>
  </si>
  <si>
    <t>Dist. mínima (m)</t>
  </si>
  <si>
    <t>Linha reta (m)</t>
  </si>
  <si>
    <t>Máxima (km)</t>
  </si>
  <si>
    <t>Mínima (km)</t>
  </si>
  <si>
    <t>Fator estrada/reta</t>
  </si>
  <si>
    <t>Observação</t>
  </si>
  <si>
    <t>T-39A</t>
  </si>
  <si>
    <t>T-39</t>
  </si>
  <si>
    <t>T-39D</t>
  </si>
  <si>
    <t>T-40A</t>
  </si>
  <si>
    <t>T-41A</t>
  </si>
  <si>
    <t>T-40B</t>
  </si>
  <si>
    <t>T-35</t>
  </si>
  <si>
    <t>T-39C</t>
  </si>
  <si>
    <t>T-37A</t>
  </si>
  <si>
    <t>T-37B</t>
  </si>
  <si>
    <t>T-37</t>
  </si>
  <si>
    <t>T-38C</t>
  </si>
  <si>
    <t>T-39B</t>
  </si>
  <si>
    <t>T-36A</t>
  </si>
  <si>
    <t>T-36</t>
  </si>
  <si>
    <t>T-41B</t>
  </si>
  <si>
    <t>T-38A</t>
  </si>
  <si>
    <t>T-38B</t>
  </si>
  <si>
    <t>T-34</t>
  </si>
  <si>
    <t>T-36B</t>
  </si>
  <si>
    <t>T-36C</t>
  </si>
  <si>
    <t>T-33</t>
  </si>
  <si>
    <t>T-33A</t>
  </si>
  <si>
    <t>T-33B</t>
  </si>
  <si>
    <t>T-33D</t>
  </si>
  <si>
    <t>T-32A</t>
  </si>
  <si>
    <t>T-33C</t>
  </si>
  <si>
    <t>T-33F</t>
  </si>
  <si>
    <t>T-32B</t>
  </si>
  <si>
    <t>T-33E</t>
  </si>
  <si>
    <t>T-32C</t>
  </si>
  <si>
    <t>T-32</t>
  </si>
  <si>
    <t>T-29B</t>
  </si>
  <si>
    <t>T-29D</t>
  </si>
  <si>
    <t>T-30A</t>
  </si>
  <si>
    <t>T-30C</t>
  </si>
  <si>
    <t>T-30D</t>
  </si>
  <si>
    <t>T-29A</t>
  </si>
  <si>
    <t>T-29C</t>
  </si>
  <si>
    <t>T-26B</t>
  </si>
  <si>
    <t>T-26C</t>
  </si>
  <si>
    <t>T-30B</t>
  </si>
  <si>
    <t>T-27B</t>
  </si>
  <si>
    <t>T-26A</t>
  </si>
  <si>
    <t>T-27C</t>
  </si>
  <si>
    <t>T-27D</t>
  </si>
  <si>
    <t>T-27A</t>
  </si>
  <si>
    <t>T-17</t>
  </si>
  <si>
    <t>T-05C</t>
  </si>
  <si>
    <t>T-22</t>
  </si>
  <si>
    <t>T-05B</t>
  </si>
  <si>
    <t>T-21</t>
  </si>
  <si>
    <t>T-05A</t>
  </si>
  <si>
    <t>T-04</t>
  </si>
  <si>
    <t>T-03</t>
  </si>
  <si>
    <t>T-06B</t>
  </si>
  <si>
    <t>T-16</t>
  </si>
  <si>
    <t>T-05D</t>
  </si>
  <si>
    <t>T-06C</t>
  </si>
  <si>
    <t>T-CON</t>
  </si>
  <si>
    <t>T-06A</t>
  </si>
  <si>
    <t>T-07B</t>
  </si>
  <si>
    <t>T-07</t>
  </si>
  <si>
    <t>T-08</t>
  </si>
  <si>
    <t>T-02</t>
  </si>
  <si>
    <t>T-09</t>
  </si>
  <si>
    <t>T-10B</t>
  </si>
  <si>
    <t>T-01</t>
  </si>
  <si>
    <t>T-10</t>
  </si>
  <si>
    <t>TOTAL / MÁXIMO</t>
  </si>
  <si>
    <t>Fundo amarelo = precisa de conferência: fator ≥ 3,0, ligação suposta, ou talhão sem estrada. Veja a coluna Observação.</t>
  </si>
  <si>
    <t>Como estes números foram calculados</t>
  </si>
  <si>
    <t>Origem</t>
  </si>
  <si>
    <t>Ponto de sede do projeto do Google Earth (-13.586393, -57.555499).</t>
  </si>
  <si>
    <t>Talhões</t>
  </si>
  <si>
    <t>69 polígonos da pasta FAZENDA TUCANO.</t>
  </si>
  <si>
    <t>Malha de estradas</t>
  </si>
  <si>
    <t>Divisas dos talhões (os carreadores correm nas divisas), costuradas onde talhões vizinhos são separados pela faixa do carreador (até 45 m), mais as estradas de dados/estradas_extra.json.</t>
  </si>
  <si>
    <t>Dist. máxima</t>
  </si>
  <si>
    <t>Menor caminho pela estrada, da sede até o ponto MAIS EXTREMO do perímetro do talhão. Não corta por dentro da lavoura.</t>
  </si>
  <si>
    <t>Dist. mínima</t>
  </si>
  <si>
    <t>Menor caminho pela estrada, da sede até o ponto de acesso mais próximo.</t>
  </si>
  <si>
    <t>Linha reta</t>
  </si>
  <si>
    <t>Distância em linha reta da sede até a borda do talhão. Só referência.</t>
  </si>
  <si>
    <t>Fator</t>
  </si>
  <si>
    <t>Dist. máxima ÷ linha reta. Fator alto = rota indireta, ou estrada faltando na malha.</t>
  </si>
  <si>
    <t>Coordenadas</t>
  </si>
  <si>
    <t>SIRGAS 2000 / UTM 21S (EPSG:31981) para distâncias e áreas.</t>
  </si>
  <si>
    <t>Resolução</t>
  </si>
  <si>
    <t>Malha densificada a cada 25 m — é a precisão do 'ponto mais extremo'.</t>
  </si>
  <si>
    <t>Validação</t>
  </si>
  <si>
    <t>A malha precisa ser conferida por quem roda a fazenda. Use o arquivo _bancada.html.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</si>
</sst>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80808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9"/>
      <color rgb="FF000000"/>
      <name val="Arial"/>
    </font>
    <font>
      <i/>
      <sz val="9"/>
      <color rgb="FF808080"/>
      <name val="Arial"/>
    </font>
    <font>
      <b/>
      <sz val="13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3" fontId="5" fillId="0" borderId="1" xfId="0" applyNumberFormat="1" applyFont="1" applyBorder="1"/>
    <xf numFmtId="3" fontId="6" fillId="0" borderId="1" xfId="0" applyNumberFormat="1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7" fillId="0" borderId="1" xfId="0" applyFont="1" applyBorder="1"/>
    <xf numFmtId="0" fontId="4" fillId="3" borderId="1" xfId="0" applyFont="1" applyFill="1" applyBorder="1"/>
    <xf numFmtId="164" fontId="5" fillId="3" borderId="1" xfId="0" applyNumberFormat="1" applyFont="1" applyFill="1" applyBorder="1"/>
    <xf numFmtId="3" fontId="5" fillId="3" borderId="1" xfId="0" applyNumberFormat="1" applyFont="1" applyFill="1" applyBorder="1"/>
    <xf numFmtId="3" fontId="6" fillId="3" borderId="1" xfId="0" applyNumberFormat="1" applyFont="1" applyFill="1" applyBorder="1"/>
    <xf numFmtId="4" fontId="5" fillId="3" borderId="1" xfId="0" applyNumberFormat="1" applyFont="1" applyFill="1" applyBorder="1"/>
    <xf numFmtId="2" fontId="5" fillId="3" borderId="1" xfId="0" applyNumberFormat="1" applyFont="1" applyFill="1" applyBorder="1"/>
    <xf numFmtId="0" fontId="7" fillId="3" borderId="1" xfId="0" applyFont="1" applyFill="1" applyBorder="1"/>
    <xf numFmtId="0" fontId="4" fillId="4" borderId="1" xfId="0" applyFont="1" applyFill="1" applyBorder="1"/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3" fontId="6" fillId="4" borderId="1" xfId="0" applyNumberFormat="1" applyFont="1" applyFill="1" applyBorder="1"/>
    <xf numFmtId="4" fontId="5" fillId="4" borderId="1" xfId="0" applyNumberFormat="1" applyFont="1" applyFill="1" applyBorder="1"/>
    <xf numFmtId="2" fontId="5" fillId="4" borderId="1" xfId="0" applyNumberFormat="1" applyFont="1" applyFill="1" applyBorder="1"/>
    <xf numFmtId="0" fontId="7" fillId="4" borderId="1" xfId="0" applyFont="1" applyFill="1" applyBorder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14" customWidth="1"/>
    <col min="4" max="5" width="16" customWidth="1"/>
    <col min="6" max="6" width="14" customWidth="1"/>
    <col min="7" max="8" width="12" customWidth="1"/>
    <col min="9" max="9" width="17" customWidth="1"/>
    <col min="10" max="10" width="34" customWidth="1"/>
  </cols>
  <sheetData>
    <row r="1" spans="1:10" ht="17.399999999999999" x14ac:dyDescent="0.3">
      <c r="A1" s="1" t="s">
        <v>0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">
      <c r="A5" s="4" t="s">
        <v>12</v>
      </c>
      <c r="B5" s="5">
        <v>34.07</v>
      </c>
      <c r="C5" s="6">
        <v>2376</v>
      </c>
      <c r="D5" s="7">
        <v>25675</v>
      </c>
      <c r="E5" s="7">
        <v>24111</v>
      </c>
      <c r="F5" s="7">
        <v>15101</v>
      </c>
      <c r="G5" s="8">
        <f t="shared" ref="G5:G36" si="0">D5/1000</f>
        <v>25.675000000000001</v>
      </c>
      <c r="H5" s="8">
        <f t="shared" ref="H5:H36" si="1">E5/1000</f>
        <v>24.111000000000001</v>
      </c>
      <c r="I5" s="9">
        <f t="shared" ref="I5:I36" si="2">IFERROR(D5/F5,"")</f>
        <v>1.7002185285742666</v>
      </c>
      <c r="J5" s="10"/>
    </row>
    <row r="6" spans="1:10" x14ac:dyDescent="0.3">
      <c r="A6" s="11" t="s">
        <v>13</v>
      </c>
      <c r="B6" s="12">
        <v>96.66</v>
      </c>
      <c r="C6" s="13">
        <v>4267</v>
      </c>
      <c r="D6" s="14">
        <v>25605</v>
      </c>
      <c r="E6" s="14">
        <v>25190</v>
      </c>
      <c r="F6" s="14">
        <v>14390</v>
      </c>
      <c r="G6" s="15">
        <f t="shared" si="0"/>
        <v>25.605</v>
      </c>
      <c r="H6" s="15">
        <f t="shared" si="1"/>
        <v>25.19</v>
      </c>
      <c r="I6" s="16">
        <f t="shared" si="2"/>
        <v>1.7793606671299513</v>
      </c>
      <c r="J6" s="17"/>
    </row>
    <row r="7" spans="1:10" x14ac:dyDescent="0.3">
      <c r="A7" s="4" t="s">
        <v>14</v>
      </c>
      <c r="B7" s="5">
        <v>23.73</v>
      </c>
      <c r="C7" s="6">
        <v>2148</v>
      </c>
      <c r="D7" s="7">
        <v>25605</v>
      </c>
      <c r="E7" s="7">
        <v>24897</v>
      </c>
      <c r="F7" s="7">
        <v>14710</v>
      </c>
      <c r="G7" s="8">
        <f t="shared" si="0"/>
        <v>25.605</v>
      </c>
      <c r="H7" s="8">
        <f t="shared" si="1"/>
        <v>24.896999999999998</v>
      </c>
      <c r="I7" s="9">
        <f t="shared" si="2"/>
        <v>1.7406526172671652</v>
      </c>
      <c r="J7" s="10"/>
    </row>
    <row r="8" spans="1:10" x14ac:dyDescent="0.3">
      <c r="A8" s="11" t="s">
        <v>15</v>
      </c>
      <c r="B8" s="12">
        <v>85.18</v>
      </c>
      <c r="C8" s="13">
        <v>3658</v>
      </c>
      <c r="D8" s="14">
        <v>25278</v>
      </c>
      <c r="E8" s="14">
        <v>24284</v>
      </c>
      <c r="F8" s="14">
        <v>13732</v>
      </c>
      <c r="G8" s="15">
        <f t="shared" si="0"/>
        <v>25.277999999999999</v>
      </c>
      <c r="H8" s="15">
        <f t="shared" si="1"/>
        <v>24.283999999999999</v>
      </c>
      <c r="I8" s="16">
        <f t="shared" si="2"/>
        <v>1.8408097873579958</v>
      </c>
      <c r="J8" s="17"/>
    </row>
    <row r="9" spans="1:10" x14ac:dyDescent="0.3">
      <c r="A9" s="4" t="s">
        <v>16</v>
      </c>
      <c r="B9" s="5">
        <v>150.53</v>
      </c>
      <c r="C9" s="6">
        <v>4897</v>
      </c>
      <c r="D9" s="7">
        <v>25277</v>
      </c>
      <c r="E9" s="7">
        <v>22802</v>
      </c>
      <c r="F9" s="7">
        <v>12769</v>
      </c>
      <c r="G9" s="8">
        <f t="shared" si="0"/>
        <v>25.277000000000001</v>
      </c>
      <c r="H9" s="8">
        <f t="shared" si="1"/>
        <v>22.802</v>
      </c>
      <c r="I9" s="9">
        <f t="shared" si="2"/>
        <v>1.979559871563944</v>
      </c>
      <c r="J9" s="10"/>
    </row>
    <row r="10" spans="1:10" x14ac:dyDescent="0.3">
      <c r="A10" s="11" t="s">
        <v>17</v>
      </c>
      <c r="B10" s="12">
        <v>31</v>
      </c>
      <c r="C10" s="13">
        <v>2363</v>
      </c>
      <c r="D10" s="14">
        <v>25101</v>
      </c>
      <c r="E10" s="14">
        <v>24923</v>
      </c>
      <c r="F10" s="14">
        <v>14034</v>
      </c>
      <c r="G10" s="15">
        <f t="shared" si="0"/>
        <v>25.100999999999999</v>
      </c>
      <c r="H10" s="15">
        <f t="shared" si="1"/>
        <v>24.922999999999998</v>
      </c>
      <c r="I10" s="16">
        <f t="shared" si="2"/>
        <v>1.7885848653270628</v>
      </c>
      <c r="J10" s="17"/>
    </row>
    <row r="11" spans="1:10" x14ac:dyDescent="0.3">
      <c r="A11" s="4" t="s">
        <v>18</v>
      </c>
      <c r="B11" s="5">
        <v>240.66</v>
      </c>
      <c r="C11" s="6">
        <v>6211</v>
      </c>
      <c r="D11" s="7">
        <v>24958</v>
      </c>
      <c r="E11" s="7">
        <v>22107</v>
      </c>
      <c r="F11" s="7">
        <v>16499</v>
      </c>
      <c r="G11" s="8">
        <f t="shared" si="0"/>
        <v>24.957999999999998</v>
      </c>
      <c r="H11" s="8">
        <f t="shared" si="1"/>
        <v>22.106999999999999</v>
      </c>
      <c r="I11" s="9">
        <f t="shared" si="2"/>
        <v>1.5126977392569247</v>
      </c>
      <c r="J11" s="10"/>
    </row>
    <row r="12" spans="1:10" x14ac:dyDescent="0.3">
      <c r="A12" s="11" t="s">
        <v>19</v>
      </c>
      <c r="B12" s="12">
        <v>20.03</v>
      </c>
      <c r="C12" s="13">
        <v>1858</v>
      </c>
      <c r="D12" s="14">
        <v>24949</v>
      </c>
      <c r="E12" s="14">
        <v>24436</v>
      </c>
      <c r="F12" s="14">
        <v>14553</v>
      </c>
      <c r="G12" s="15">
        <f t="shared" si="0"/>
        <v>24.949000000000002</v>
      </c>
      <c r="H12" s="15">
        <f t="shared" si="1"/>
        <v>24.436</v>
      </c>
      <c r="I12" s="16">
        <f t="shared" si="2"/>
        <v>1.7143544286401429</v>
      </c>
      <c r="J12" s="17"/>
    </row>
    <row r="13" spans="1:10" x14ac:dyDescent="0.3">
      <c r="A13" s="4" t="s">
        <v>20</v>
      </c>
      <c r="B13" s="5">
        <v>85.99</v>
      </c>
      <c r="C13" s="6">
        <v>4182</v>
      </c>
      <c r="D13" s="7">
        <v>24787</v>
      </c>
      <c r="E13" s="7">
        <v>24530</v>
      </c>
      <c r="F13" s="7">
        <v>15781</v>
      </c>
      <c r="G13" s="8">
        <f t="shared" si="0"/>
        <v>24.786999999999999</v>
      </c>
      <c r="H13" s="8">
        <f t="shared" si="1"/>
        <v>24.53</v>
      </c>
      <c r="I13" s="9">
        <f t="shared" si="2"/>
        <v>1.5706862682973195</v>
      </c>
      <c r="J13" s="10"/>
    </row>
    <row r="14" spans="1:10" x14ac:dyDescent="0.3">
      <c r="A14" s="11" t="s">
        <v>21</v>
      </c>
      <c r="B14" s="12">
        <v>108.01</v>
      </c>
      <c r="C14" s="13">
        <v>4183</v>
      </c>
      <c r="D14" s="14">
        <v>24560</v>
      </c>
      <c r="E14" s="14">
        <v>23343</v>
      </c>
      <c r="F14" s="14">
        <v>15031</v>
      </c>
      <c r="G14" s="15">
        <f t="shared" si="0"/>
        <v>24.56</v>
      </c>
      <c r="H14" s="15">
        <f t="shared" si="1"/>
        <v>23.343</v>
      </c>
      <c r="I14" s="16">
        <f t="shared" si="2"/>
        <v>1.6339564899208303</v>
      </c>
      <c r="J14" s="17"/>
    </row>
    <row r="15" spans="1:10" x14ac:dyDescent="0.3">
      <c r="A15" s="4" t="s">
        <v>22</v>
      </c>
      <c r="B15" s="5">
        <v>182.45</v>
      </c>
      <c r="C15" s="6">
        <v>5565</v>
      </c>
      <c r="D15" s="7">
        <v>24469</v>
      </c>
      <c r="E15" s="7">
        <v>22964</v>
      </c>
      <c r="F15" s="7">
        <v>15705</v>
      </c>
      <c r="G15" s="8">
        <f t="shared" si="0"/>
        <v>24.469000000000001</v>
      </c>
      <c r="H15" s="8">
        <f t="shared" si="1"/>
        <v>22.963999999999999</v>
      </c>
      <c r="I15" s="9">
        <f t="shared" si="2"/>
        <v>1.558038841133397</v>
      </c>
      <c r="J15" s="10"/>
    </row>
    <row r="16" spans="1:10" x14ac:dyDescent="0.3">
      <c r="A16" s="11" t="s">
        <v>23</v>
      </c>
      <c r="B16" s="12">
        <v>27.75</v>
      </c>
      <c r="C16" s="13">
        <v>2368</v>
      </c>
      <c r="D16" s="14">
        <v>24411</v>
      </c>
      <c r="E16" s="14">
        <v>23597</v>
      </c>
      <c r="F16" s="14">
        <v>14263</v>
      </c>
      <c r="G16" s="15">
        <f t="shared" si="0"/>
        <v>24.411000000000001</v>
      </c>
      <c r="H16" s="15">
        <f t="shared" si="1"/>
        <v>23.597000000000001</v>
      </c>
      <c r="I16" s="16">
        <f t="shared" si="2"/>
        <v>1.7114912711210826</v>
      </c>
      <c r="J16" s="17"/>
    </row>
    <row r="17" spans="1:10" x14ac:dyDescent="0.3">
      <c r="A17" s="4" t="s">
        <v>24</v>
      </c>
      <c r="B17" s="5">
        <v>27.21</v>
      </c>
      <c r="C17" s="6">
        <v>2143</v>
      </c>
      <c r="D17" s="7">
        <v>24165</v>
      </c>
      <c r="E17" s="7">
        <v>23627</v>
      </c>
      <c r="F17" s="7">
        <v>14837</v>
      </c>
      <c r="G17" s="8">
        <f t="shared" si="0"/>
        <v>24.164999999999999</v>
      </c>
      <c r="H17" s="8">
        <f t="shared" si="1"/>
        <v>23.626999999999999</v>
      </c>
      <c r="I17" s="9">
        <f t="shared" si="2"/>
        <v>1.6286985239603693</v>
      </c>
      <c r="J17" s="10"/>
    </row>
    <row r="18" spans="1:10" x14ac:dyDescent="0.3">
      <c r="A18" s="11" t="s">
        <v>25</v>
      </c>
      <c r="B18" s="12">
        <v>36.89</v>
      </c>
      <c r="C18" s="13">
        <v>2563</v>
      </c>
      <c r="D18" s="14">
        <v>24117</v>
      </c>
      <c r="E18" s="14">
        <v>22836</v>
      </c>
      <c r="F18" s="14">
        <v>14740</v>
      </c>
      <c r="G18" s="15">
        <f t="shared" si="0"/>
        <v>24.117000000000001</v>
      </c>
      <c r="H18" s="15">
        <f t="shared" si="1"/>
        <v>22.835999999999999</v>
      </c>
      <c r="I18" s="16">
        <f t="shared" si="2"/>
        <v>1.6361601085481683</v>
      </c>
      <c r="J18" s="17"/>
    </row>
    <row r="19" spans="1:10" x14ac:dyDescent="0.3">
      <c r="A19" s="4" t="s">
        <v>26</v>
      </c>
      <c r="B19" s="5">
        <v>93.86</v>
      </c>
      <c r="C19" s="6">
        <v>4450</v>
      </c>
      <c r="D19" s="7">
        <v>24038</v>
      </c>
      <c r="E19" s="7">
        <v>21082</v>
      </c>
      <c r="F19" s="7">
        <v>14968</v>
      </c>
      <c r="G19" s="8">
        <f t="shared" si="0"/>
        <v>24.038</v>
      </c>
      <c r="H19" s="8">
        <f t="shared" si="1"/>
        <v>21.082000000000001</v>
      </c>
      <c r="I19" s="9">
        <f t="shared" si="2"/>
        <v>1.6059593800106895</v>
      </c>
      <c r="J19" s="10"/>
    </row>
    <row r="20" spans="1:10" x14ac:dyDescent="0.3">
      <c r="A20" s="11" t="s">
        <v>27</v>
      </c>
      <c r="B20" s="12">
        <v>38.03</v>
      </c>
      <c r="C20" s="13">
        <v>2973</v>
      </c>
      <c r="D20" s="14">
        <v>23934</v>
      </c>
      <c r="E20" s="14">
        <v>22996</v>
      </c>
      <c r="F20" s="14">
        <v>12971</v>
      </c>
      <c r="G20" s="15">
        <f t="shared" si="0"/>
        <v>23.934000000000001</v>
      </c>
      <c r="H20" s="15">
        <f t="shared" si="1"/>
        <v>22.995999999999999</v>
      </c>
      <c r="I20" s="16">
        <f t="shared" si="2"/>
        <v>1.8451931231208079</v>
      </c>
      <c r="J20" s="17"/>
    </row>
    <row r="21" spans="1:10" x14ac:dyDescent="0.3">
      <c r="A21" s="4" t="s">
        <v>28</v>
      </c>
      <c r="B21" s="5">
        <v>52.93</v>
      </c>
      <c r="C21" s="6">
        <v>3201</v>
      </c>
      <c r="D21" s="7">
        <v>23597</v>
      </c>
      <c r="E21" s="7">
        <v>21881</v>
      </c>
      <c r="F21" s="7">
        <v>13857</v>
      </c>
      <c r="G21" s="8">
        <f t="shared" si="0"/>
        <v>23.597000000000001</v>
      </c>
      <c r="H21" s="8">
        <f t="shared" si="1"/>
        <v>21.881</v>
      </c>
      <c r="I21" s="9">
        <f t="shared" si="2"/>
        <v>1.7028938442664356</v>
      </c>
      <c r="J21" s="10"/>
    </row>
    <row r="22" spans="1:10" x14ac:dyDescent="0.3">
      <c r="A22" s="11" t="s">
        <v>29</v>
      </c>
      <c r="B22" s="12">
        <v>25.33</v>
      </c>
      <c r="C22" s="13">
        <v>2313</v>
      </c>
      <c r="D22" s="14">
        <v>23397</v>
      </c>
      <c r="E22" s="14">
        <v>22658</v>
      </c>
      <c r="F22" s="14">
        <v>14244</v>
      </c>
      <c r="G22" s="15">
        <f t="shared" si="0"/>
        <v>23.396999999999998</v>
      </c>
      <c r="H22" s="15">
        <f t="shared" si="1"/>
        <v>22.658000000000001</v>
      </c>
      <c r="I22" s="16">
        <f t="shared" si="2"/>
        <v>1.6425863521482729</v>
      </c>
      <c r="J22" s="17"/>
    </row>
    <row r="23" spans="1:10" x14ac:dyDescent="0.3">
      <c r="A23" s="4" t="s">
        <v>30</v>
      </c>
      <c r="B23" s="5">
        <v>228.96</v>
      </c>
      <c r="C23" s="6">
        <v>6152</v>
      </c>
      <c r="D23" s="7">
        <v>23253</v>
      </c>
      <c r="E23" s="7">
        <v>20237</v>
      </c>
      <c r="F23" s="7">
        <v>15117</v>
      </c>
      <c r="G23" s="8">
        <f t="shared" si="0"/>
        <v>23.253</v>
      </c>
      <c r="H23" s="8">
        <f t="shared" si="1"/>
        <v>20.236999999999998</v>
      </c>
      <c r="I23" s="9">
        <f t="shared" si="2"/>
        <v>1.5382020242111529</v>
      </c>
      <c r="J23" s="10"/>
    </row>
    <row r="24" spans="1:10" x14ac:dyDescent="0.3">
      <c r="A24" s="11" t="s">
        <v>31</v>
      </c>
      <c r="B24" s="12">
        <v>39.71</v>
      </c>
      <c r="C24" s="13">
        <v>2648</v>
      </c>
      <c r="D24" s="14">
        <v>22886</v>
      </c>
      <c r="E24" s="14">
        <v>22278</v>
      </c>
      <c r="F24" s="14">
        <v>14442</v>
      </c>
      <c r="G24" s="15">
        <f t="shared" si="0"/>
        <v>22.885999999999999</v>
      </c>
      <c r="H24" s="15">
        <f t="shared" si="1"/>
        <v>22.277999999999999</v>
      </c>
      <c r="I24" s="16">
        <f t="shared" si="2"/>
        <v>1.5846835618335411</v>
      </c>
      <c r="J24" s="17"/>
    </row>
    <row r="25" spans="1:10" x14ac:dyDescent="0.3">
      <c r="A25" s="4" t="s">
        <v>32</v>
      </c>
      <c r="B25" s="5">
        <v>42.33</v>
      </c>
      <c r="C25" s="6">
        <v>3171</v>
      </c>
      <c r="D25" s="7">
        <v>22329</v>
      </c>
      <c r="E25" s="7">
        <v>20930</v>
      </c>
      <c r="F25" s="7">
        <v>14233</v>
      </c>
      <c r="G25" s="8">
        <f t="shared" si="0"/>
        <v>22.329000000000001</v>
      </c>
      <c r="H25" s="8">
        <f t="shared" si="1"/>
        <v>20.93</v>
      </c>
      <c r="I25" s="9">
        <f t="shared" si="2"/>
        <v>1.5688189418955947</v>
      </c>
      <c r="J25" s="10"/>
    </row>
    <row r="26" spans="1:10" x14ac:dyDescent="0.3">
      <c r="A26" s="11" t="s">
        <v>33</v>
      </c>
      <c r="B26" s="12">
        <v>187.06</v>
      </c>
      <c r="C26" s="13">
        <v>5526</v>
      </c>
      <c r="D26" s="14">
        <v>21563</v>
      </c>
      <c r="E26" s="14">
        <v>18739</v>
      </c>
      <c r="F26" s="14">
        <v>13729</v>
      </c>
      <c r="G26" s="15">
        <f t="shared" si="0"/>
        <v>21.562999999999999</v>
      </c>
      <c r="H26" s="15">
        <f t="shared" si="1"/>
        <v>18.739000000000001</v>
      </c>
      <c r="I26" s="16">
        <f t="shared" si="2"/>
        <v>1.5706169422390559</v>
      </c>
      <c r="J26" s="17"/>
    </row>
    <row r="27" spans="1:10" x14ac:dyDescent="0.3">
      <c r="A27" s="4" t="s">
        <v>34</v>
      </c>
      <c r="B27" s="5">
        <v>28.72</v>
      </c>
      <c r="C27" s="6">
        <v>2599</v>
      </c>
      <c r="D27" s="7">
        <v>21563</v>
      </c>
      <c r="E27" s="7">
        <v>20519</v>
      </c>
      <c r="F27" s="7">
        <v>14141</v>
      </c>
      <c r="G27" s="8">
        <f t="shared" si="0"/>
        <v>21.562999999999999</v>
      </c>
      <c r="H27" s="8">
        <f t="shared" si="1"/>
        <v>20.518999999999998</v>
      </c>
      <c r="I27" s="9">
        <f t="shared" si="2"/>
        <v>1.524856799377696</v>
      </c>
      <c r="J27" s="10"/>
    </row>
    <row r="28" spans="1:10" x14ac:dyDescent="0.3">
      <c r="A28" s="11" t="s">
        <v>35</v>
      </c>
      <c r="B28" s="12">
        <v>28.89</v>
      </c>
      <c r="C28" s="13">
        <v>2630</v>
      </c>
      <c r="D28" s="14">
        <v>20736</v>
      </c>
      <c r="E28" s="14">
        <v>20154</v>
      </c>
      <c r="F28" s="14">
        <v>13724</v>
      </c>
      <c r="G28" s="15">
        <f t="shared" si="0"/>
        <v>20.736000000000001</v>
      </c>
      <c r="H28" s="15">
        <f t="shared" si="1"/>
        <v>20.154</v>
      </c>
      <c r="I28" s="16">
        <f t="shared" si="2"/>
        <v>1.510929758088021</v>
      </c>
      <c r="J28" s="17"/>
    </row>
    <row r="29" spans="1:10" x14ac:dyDescent="0.3">
      <c r="A29" s="4" t="s">
        <v>36</v>
      </c>
      <c r="B29" s="5">
        <v>20.329999999999998</v>
      </c>
      <c r="C29" s="6">
        <v>1825</v>
      </c>
      <c r="D29" s="7">
        <v>20237</v>
      </c>
      <c r="E29" s="7">
        <v>19999</v>
      </c>
      <c r="F29" s="7">
        <v>13381</v>
      </c>
      <c r="G29" s="8">
        <f t="shared" si="0"/>
        <v>20.236999999999998</v>
      </c>
      <c r="H29" s="8">
        <f t="shared" si="1"/>
        <v>19.998999999999999</v>
      </c>
      <c r="I29" s="9">
        <f t="shared" si="2"/>
        <v>1.5123682833868919</v>
      </c>
      <c r="J29" s="10"/>
    </row>
    <row r="30" spans="1:10" x14ac:dyDescent="0.3">
      <c r="A30" s="11" t="s">
        <v>37</v>
      </c>
      <c r="B30" s="12">
        <v>49.81</v>
      </c>
      <c r="C30" s="13">
        <v>3183</v>
      </c>
      <c r="D30" s="14">
        <v>20210</v>
      </c>
      <c r="E30" s="14">
        <v>18504</v>
      </c>
      <c r="F30" s="14">
        <v>12736</v>
      </c>
      <c r="G30" s="15">
        <f t="shared" si="0"/>
        <v>20.21</v>
      </c>
      <c r="H30" s="15">
        <f t="shared" si="1"/>
        <v>18.504000000000001</v>
      </c>
      <c r="I30" s="16">
        <f t="shared" si="2"/>
        <v>1.5868404522613064</v>
      </c>
      <c r="J30" s="17"/>
    </row>
    <row r="31" spans="1:10" x14ac:dyDescent="0.3">
      <c r="A31" s="4" t="s">
        <v>38</v>
      </c>
      <c r="B31" s="5">
        <v>17.32</v>
      </c>
      <c r="C31" s="6">
        <v>1739</v>
      </c>
      <c r="D31" s="7">
        <v>20192</v>
      </c>
      <c r="E31" s="7">
        <v>19845</v>
      </c>
      <c r="F31" s="7">
        <v>13605</v>
      </c>
      <c r="G31" s="8">
        <f t="shared" si="0"/>
        <v>20.192</v>
      </c>
      <c r="H31" s="8">
        <f t="shared" si="1"/>
        <v>19.844999999999999</v>
      </c>
      <c r="I31" s="9">
        <f t="shared" si="2"/>
        <v>1.4841602352076442</v>
      </c>
      <c r="J31" s="10"/>
    </row>
    <row r="32" spans="1:10" x14ac:dyDescent="0.3">
      <c r="A32" s="11" t="s">
        <v>39</v>
      </c>
      <c r="B32" s="12">
        <v>83.54</v>
      </c>
      <c r="C32" s="13">
        <v>3934</v>
      </c>
      <c r="D32" s="14">
        <v>20192</v>
      </c>
      <c r="E32" s="14">
        <v>18949</v>
      </c>
      <c r="F32" s="14">
        <v>12932</v>
      </c>
      <c r="G32" s="15">
        <f t="shared" si="0"/>
        <v>20.192</v>
      </c>
      <c r="H32" s="15">
        <f t="shared" si="1"/>
        <v>18.949000000000002</v>
      </c>
      <c r="I32" s="16">
        <f t="shared" si="2"/>
        <v>1.5613980822765234</v>
      </c>
      <c r="J32" s="17"/>
    </row>
    <row r="33" spans="1:10" x14ac:dyDescent="0.3">
      <c r="A33" s="4" t="s">
        <v>40</v>
      </c>
      <c r="B33" s="5">
        <v>56.22</v>
      </c>
      <c r="C33" s="6">
        <v>3219</v>
      </c>
      <c r="D33" s="7">
        <v>20061</v>
      </c>
      <c r="E33" s="7">
        <v>18953</v>
      </c>
      <c r="F33" s="7">
        <v>12386</v>
      </c>
      <c r="G33" s="8">
        <f t="shared" si="0"/>
        <v>20.061</v>
      </c>
      <c r="H33" s="8">
        <f t="shared" si="1"/>
        <v>18.952999999999999</v>
      </c>
      <c r="I33" s="9">
        <f t="shared" si="2"/>
        <v>1.6196512191183594</v>
      </c>
      <c r="J33" s="10"/>
    </row>
    <row r="34" spans="1:10" x14ac:dyDescent="0.3">
      <c r="A34" s="11" t="s">
        <v>41</v>
      </c>
      <c r="B34" s="12">
        <v>25.66</v>
      </c>
      <c r="C34" s="13">
        <v>2270</v>
      </c>
      <c r="D34" s="14">
        <v>19882</v>
      </c>
      <c r="E34" s="14">
        <v>18975</v>
      </c>
      <c r="F34" s="14">
        <v>13030</v>
      </c>
      <c r="G34" s="15">
        <f t="shared" si="0"/>
        <v>19.882000000000001</v>
      </c>
      <c r="H34" s="15">
        <f t="shared" si="1"/>
        <v>18.975000000000001</v>
      </c>
      <c r="I34" s="16">
        <f t="shared" si="2"/>
        <v>1.5258633921719109</v>
      </c>
      <c r="J34" s="17"/>
    </row>
    <row r="35" spans="1:10" x14ac:dyDescent="0.3">
      <c r="A35" s="4" t="s">
        <v>42</v>
      </c>
      <c r="B35" s="5">
        <v>73.53</v>
      </c>
      <c r="C35" s="6">
        <v>3551</v>
      </c>
      <c r="D35" s="7">
        <v>19860</v>
      </c>
      <c r="E35" s="7">
        <v>19497</v>
      </c>
      <c r="F35" s="7">
        <v>12059</v>
      </c>
      <c r="G35" s="8">
        <f t="shared" si="0"/>
        <v>19.86</v>
      </c>
      <c r="H35" s="8">
        <f t="shared" si="1"/>
        <v>19.497</v>
      </c>
      <c r="I35" s="9">
        <f t="shared" si="2"/>
        <v>1.6469027282527573</v>
      </c>
      <c r="J35" s="10"/>
    </row>
    <row r="36" spans="1:10" x14ac:dyDescent="0.3">
      <c r="A36" s="11" t="s">
        <v>43</v>
      </c>
      <c r="B36" s="12">
        <v>82.03</v>
      </c>
      <c r="C36" s="13">
        <v>3674</v>
      </c>
      <c r="D36" s="14">
        <v>18789</v>
      </c>
      <c r="E36" s="14">
        <v>17738</v>
      </c>
      <c r="F36" s="14">
        <v>13042</v>
      </c>
      <c r="G36" s="15">
        <f t="shared" si="0"/>
        <v>18.789000000000001</v>
      </c>
      <c r="H36" s="15">
        <f t="shared" si="1"/>
        <v>17.738</v>
      </c>
      <c r="I36" s="16">
        <f t="shared" si="2"/>
        <v>1.4406532740377243</v>
      </c>
      <c r="J36" s="17"/>
    </row>
    <row r="37" spans="1:10" x14ac:dyDescent="0.3">
      <c r="A37" s="4" t="s">
        <v>44</v>
      </c>
      <c r="B37" s="5">
        <v>51.46</v>
      </c>
      <c r="C37" s="6">
        <v>3211</v>
      </c>
      <c r="D37" s="7">
        <v>18310</v>
      </c>
      <c r="E37" s="7">
        <v>17290</v>
      </c>
      <c r="F37" s="7">
        <v>10413</v>
      </c>
      <c r="G37" s="8">
        <f t="shared" ref="G37:G73" si="3">D37/1000</f>
        <v>18.309999999999999</v>
      </c>
      <c r="H37" s="8">
        <f t="shared" ref="H37:H73" si="4">E37/1000</f>
        <v>17.29</v>
      </c>
      <c r="I37" s="9">
        <f t="shared" ref="I37:I73" si="5">IFERROR(D37/F37,"")</f>
        <v>1.7583789493901854</v>
      </c>
      <c r="J37" s="10"/>
    </row>
    <row r="38" spans="1:10" x14ac:dyDescent="0.3">
      <c r="A38" s="11" t="s">
        <v>45</v>
      </c>
      <c r="B38" s="12">
        <v>204.97</v>
      </c>
      <c r="C38" s="13">
        <v>6009</v>
      </c>
      <c r="D38" s="14">
        <v>18310</v>
      </c>
      <c r="E38" s="14">
        <v>15286</v>
      </c>
      <c r="F38" s="14">
        <v>9361</v>
      </c>
      <c r="G38" s="15">
        <f t="shared" si="3"/>
        <v>18.309999999999999</v>
      </c>
      <c r="H38" s="15">
        <f t="shared" si="4"/>
        <v>15.286</v>
      </c>
      <c r="I38" s="16">
        <f t="shared" si="5"/>
        <v>1.9559876081615213</v>
      </c>
      <c r="J38" s="17"/>
    </row>
    <row r="39" spans="1:10" x14ac:dyDescent="0.3">
      <c r="A39" s="4" t="s">
        <v>46</v>
      </c>
      <c r="B39" s="5">
        <v>36.369999999999997</v>
      </c>
      <c r="C39" s="6">
        <v>3031</v>
      </c>
      <c r="D39" s="7">
        <v>18066</v>
      </c>
      <c r="E39" s="7">
        <v>16214</v>
      </c>
      <c r="F39" s="7">
        <v>10293</v>
      </c>
      <c r="G39" s="8">
        <f t="shared" si="3"/>
        <v>18.065999999999999</v>
      </c>
      <c r="H39" s="8">
        <f t="shared" si="4"/>
        <v>16.213999999999999</v>
      </c>
      <c r="I39" s="9">
        <f t="shared" si="5"/>
        <v>1.7551734188283299</v>
      </c>
      <c r="J39" s="10"/>
    </row>
    <row r="40" spans="1:10" x14ac:dyDescent="0.3">
      <c r="A40" s="11" t="s">
        <v>47</v>
      </c>
      <c r="B40" s="12">
        <v>135.69999999999999</v>
      </c>
      <c r="C40" s="13">
        <v>5466</v>
      </c>
      <c r="D40" s="14">
        <v>18066</v>
      </c>
      <c r="E40" s="14">
        <v>15286</v>
      </c>
      <c r="F40" s="14">
        <v>9364</v>
      </c>
      <c r="G40" s="15">
        <f t="shared" si="3"/>
        <v>18.065999999999999</v>
      </c>
      <c r="H40" s="15">
        <f t="shared" si="4"/>
        <v>15.286</v>
      </c>
      <c r="I40" s="16">
        <f t="shared" si="5"/>
        <v>1.9293037163605298</v>
      </c>
      <c r="J40" s="17"/>
    </row>
    <row r="41" spans="1:10" x14ac:dyDescent="0.3">
      <c r="A41" s="4" t="s">
        <v>48</v>
      </c>
      <c r="B41" s="5">
        <v>27.34</v>
      </c>
      <c r="C41" s="6">
        <v>2417</v>
      </c>
      <c r="D41" s="7">
        <v>18049</v>
      </c>
      <c r="E41" s="7">
        <v>16976</v>
      </c>
      <c r="F41" s="7">
        <v>10355</v>
      </c>
      <c r="G41" s="8">
        <f t="shared" si="3"/>
        <v>18.048999999999999</v>
      </c>
      <c r="H41" s="8">
        <f t="shared" si="4"/>
        <v>16.975999999999999</v>
      </c>
      <c r="I41" s="9">
        <f t="shared" si="5"/>
        <v>1.7430226943505553</v>
      </c>
      <c r="J41" s="10"/>
    </row>
    <row r="42" spans="1:10" x14ac:dyDescent="0.3">
      <c r="A42" s="11" t="s">
        <v>49</v>
      </c>
      <c r="B42" s="12">
        <v>55.07</v>
      </c>
      <c r="C42" s="13">
        <v>3294</v>
      </c>
      <c r="D42" s="14">
        <v>17848</v>
      </c>
      <c r="E42" s="14">
        <v>16271</v>
      </c>
      <c r="F42" s="14">
        <v>10324</v>
      </c>
      <c r="G42" s="15">
        <f t="shared" si="3"/>
        <v>17.847999999999999</v>
      </c>
      <c r="H42" s="15">
        <f t="shared" si="4"/>
        <v>16.271000000000001</v>
      </c>
      <c r="I42" s="16">
        <f t="shared" si="5"/>
        <v>1.7287872917473848</v>
      </c>
      <c r="J42" s="17"/>
    </row>
    <row r="43" spans="1:10" x14ac:dyDescent="0.3">
      <c r="A43" s="4" t="s">
        <v>50</v>
      </c>
      <c r="B43" s="5">
        <v>43.21</v>
      </c>
      <c r="C43" s="6">
        <v>2710</v>
      </c>
      <c r="D43" s="7">
        <v>17340</v>
      </c>
      <c r="E43" s="7">
        <v>15921</v>
      </c>
      <c r="F43" s="7">
        <v>9510</v>
      </c>
      <c r="G43" s="8">
        <f t="shared" si="3"/>
        <v>17.34</v>
      </c>
      <c r="H43" s="8">
        <f t="shared" si="4"/>
        <v>15.920999999999999</v>
      </c>
      <c r="I43" s="9">
        <f t="shared" si="5"/>
        <v>1.8233438485804416</v>
      </c>
      <c r="J43" s="10"/>
    </row>
    <row r="44" spans="1:10" x14ac:dyDescent="0.3">
      <c r="A44" s="11" t="s">
        <v>51</v>
      </c>
      <c r="B44" s="12">
        <v>24.59</v>
      </c>
      <c r="C44" s="13">
        <v>3289</v>
      </c>
      <c r="D44" s="14">
        <v>16463</v>
      </c>
      <c r="E44" s="14">
        <v>15013</v>
      </c>
      <c r="F44" s="14">
        <v>8560</v>
      </c>
      <c r="G44" s="15">
        <f t="shared" si="3"/>
        <v>16.463000000000001</v>
      </c>
      <c r="H44" s="15">
        <f t="shared" si="4"/>
        <v>15.013</v>
      </c>
      <c r="I44" s="16">
        <f t="shared" si="5"/>
        <v>1.923247663551402</v>
      </c>
      <c r="J44" s="17"/>
    </row>
    <row r="45" spans="1:10" x14ac:dyDescent="0.3">
      <c r="A45" s="4" t="s">
        <v>52</v>
      </c>
      <c r="B45" s="5">
        <v>30.09</v>
      </c>
      <c r="C45" s="6">
        <v>3233</v>
      </c>
      <c r="D45" s="7">
        <v>16463</v>
      </c>
      <c r="E45" s="7">
        <v>15013</v>
      </c>
      <c r="F45" s="7">
        <v>8180</v>
      </c>
      <c r="G45" s="8">
        <f t="shared" si="3"/>
        <v>16.463000000000001</v>
      </c>
      <c r="H45" s="8">
        <f t="shared" si="4"/>
        <v>15.013</v>
      </c>
      <c r="I45" s="9">
        <f t="shared" si="5"/>
        <v>2.012591687041565</v>
      </c>
      <c r="J45" s="10"/>
    </row>
    <row r="46" spans="1:10" x14ac:dyDescent="0.3">
      <c r="A46" s="11" t="s">
        <v>53</v>
      </c>
      <c r="B46" s="12">
        <v>40.19</v>
      </c>
      <c r="C46" s="13">
        <v>2657</v>
      </c>
      <c r="D46" s="14">
        <v>16271</v>
      </c>
      <c r="E46" s="14">
        <v>15286</v>
      </c>
      <c r="F46" s="14">
        <v>9367</v>
      </c>
      <c r="G46" s="15">
        <f t="shared" si="3"/>
        <v>16.271000000000001</v>
      </c>
      <c r="H46" s="15">
        <f t="shared" si="4"/>
        <v>15.286</v>
      </c>
      <c r="I46" s="16">
        <f t="shared" si="5"/>
        <v>1.737055620796413</v>
      </c>
      <c r="J46" s="17"/>
    </row>
    <row r="47" spans="1:10" x14ac:dyDescent="0.3">
      <c r="A47" s="4" t="s">
        <v>54</v>
      </c>
      <c r="B47" s="5">
        <v>26.89</v>
      </c>
      <c r="C47" s="6">
        <v>2114</v>
      </c>
      <c r="D47" s="7">
        <v>14860</v>
      </c>
      <c r="E47" s="7">
        <v>14701</v>
      </c>
      <c r="F47" s="7">
        <v>7664</v>
      </c>
      <c r="G47" s="8">
        <f t="shared" si="3"/>
        <v>14.86</v>
      </c>
      <c r="H47" s="8">
        <f t="shared" si="4"/>
        <v>14.701000000000001</v>
      </c>
      <c r="I47" s="9">
        <f t="shared" si="5"/>
        <v>1.9389352818371608</v>
      </c>
      <c r="J47" s="10"/>
    </row>
    <row r="48" spans="1:10" x14ac:dyDescent="0.3">
      <c r="A48" s="11" t="s">
        <v>55</v>
      </c>
      <c r="B48" s="12">
        <v>161.05000000000001</v>
      </c>
      <c r="C48" s="13">
        <v>6277</v>
      </c>
      <c r="D48" s="14">
        <v>14805</v>
      </c>
      <c r="E48" s="14">
        <v>13378</v>
      </c>
      <c r="F48" s="14">
        <v>7560</v>
      </c>
      <c r="G48" s="15">
        <f t="shared" si="3"/>
        <v>14.805</v>
      </c>
      <c r="H48" s="15">
        <f t="shared" si="4"/>
        <v>13.378</v>
      </c>
      <c r="I48" s="16">
        <f t="shared" si="5"/>
        <v>1.9583333333333333</v>
      </c>
      <c r="J48" s="17"/>
    </row>
    <row r="49" spans="1:10" x14ac:dyDescent="0.3">
      <c r="A49" s="4" t="s">
        <v>56</v>
      </c>
      <c r="B49" s="5">
        <v>160.22</v>
      </c>
      <c r="C49" s="6">
        <v>5695</v>
      </c>
      <c r="D49" s="7">
        <v>14805</v>
      </c>
      <c r="E49" s="7">
        <v>13378</v>
      </c>
      <c r="F49" s="7">
        <v>7303</v>
      </c>
      <c r="G49" s="8">
        <f t="shared" si="3"/>
        <v>14.805</v>
      </c>
      <c r="H49" s="8">
        <f t="shared" si="4"/>
        <v>13.378</v>
      </c>
      <c r="I49" s="9">
        <f t="shared" si="5"/>
        <v>2.0272490757223061</v>
      </c>
      <c r="J49" s="10"/>
    </row>
    <row r="50" spans="1:10" x14ac:dyDescent="0.3">
      <c r="A50" s="11" t="s">
        <v>57</v>
      </c>
      <c r="B50" s="12">
        <v>33.869999999999997</v>
      </c>
      <c r="C50" s="13">
        <v>2414</v>
      </c>
      <c r="D50" s="14">
        <v>14805</v>
      </c>
      <c r="E50" s="14">
        <v>14092</v>
      </c>
      <c r="F50" s="14">
        <v>8238</v>
      </c>
      <c r="G50" s="15">
        <f t="shared" si="3"/>
        <v>14.805</v>
      </c>
      <c r="H50" s="15">
        <f t="shared" si="4"/>
        <v>14.092000000000001</v>
      </c>
      <c r="I50" s="16">
        <f t="shared" si="5"/>
        <v>1.7971595047341589</v>
      </c>
      <c r="J50" s="17"/>
    </row>
    <row r="51" spans="1:10" x14ac:dyDescent="0.3">
      <c r="A51" s="4" t="s">
        <v>58</v>
      </c>
      <c r="B51" s="5">
        <v>48.43</v>
      </c>
      <c r="C51" s="6">
        <v>2895</v>
      </c>
      <c r="D51" s="7">
        <v>14749</v>
      </c>
      <c r="E51" s="7">
        <v>13378</v>
      </c>
      <c r="F51" s="7">
        <v>7306</v>
      </c>
      <c r="G51" s="8">
        <f t="shared" si="3"/>
        <v>14.749000000000001</v>
      </c>
      <c r="H51" s="8">
        <f t="shared" si="4"/>
        <v>13.378</v>
      </c>
      <c r="I51" s="9">
        <f t="shared" si="5"/>
        <v>2.0187517109225293</v>
      </c>
      <c r="J51" s="10"/>
    </row>
    <row r="52" spans="1:10" x14ac:dyDescent="0.3">
      <c r="A52" s="11" t="s">
        <v>59</v>
      </c>
      <c r="B52" s="12">
        <v>190.66</v>
      </c>
      <c r="C52" s="13">
        <v>7672</v>
      </c>
      <c r="D52" s="14">
        <v>11582</v>
      </c>
      <c r="E52" s="14">
        <v>7485</v>
      </c>
      <c r="F52" s="14">
        <v>5896</v>
      </c>
      <c r="G52" s="15">
        <f t="shared" si="3"/>
        <v>11.582000000000001</v>
      </c>
      <c r="H52" s="15">
        <f t="shared" si="4"/>
        <v>7.4850000000000003</v>
      </c>
      <c r="I52" s="16">
        <f t="shared" si="5"/>
        <v>1.96438263229308</v>
      </c>
      <c r="J52" s="17"/>
    </row>
    <row r="53" spans="1:10" x14ac:dyDescent="0.3">
      <c r="A53" s="4" t="s">
        <v>60</v>
      </c>
      <c r="B53" s="5">
        <v>41.44</v>
      </c>
      <c r="C53" s="6">
        <v>2838</v>
      </c>
      <c r="D53" s="7">
        <v>11253</v>
      </c>
      <c r="E53" s="7">
        <v>10565</v>
      </c>
      <c r="F53" s="7">
        <v>4215</v>
      </c>
      <c r="G53" s="8">
        <f t="shared" si="3"/>
        <v>11.253</v>
      </c>
      <c r="H53" s="8">
        <f t="shared" si="4"/>
        <v>10.565</v>
      </c>
      <c r="I53" s="9">
        <f t="shared" si="5"/>
        <v>2.6697508896797153</v>
      </c>
      <c r="J53" s="10"/>
    </row>
    <row r="54" spans="1:10" x14ac:dyDescent="0.3">
      <c r="A54" s="11" t="s">
        <v>61</v>
      </c>
      <c r="B54" s="12">
        <v>303.58</v>
      </c>
      <c r="C54" s="13">
        <v>7626</v>
      </c>
      <c r="D54" s="14">
        <v>10643</v>
      </c>
      <c r="E54" s="14">
        <v>6775</v>
      </c>
      <c r="F54" s="14">
        <v>6059</v>
      </c>
      <c r="G54" s="15">
        <f t="shared" si="3"/>
        <v>10.643000000000001</v>
      </c>
      <c r="H54" s="15">
        <f t="shared" si="4"/>
        <v>6.7750000000000004</v>
      </c>
      <c r="I54" s="16">
        <f t="shared" si="5"/>
        <v>1.7565604885294603</v>
      </c>
      <c r="J54" s="17"/>
    </row>
    <row r="55" spans="1:10" x14ac:dyDescent="0.3">
      <c r="A55" s="4" t="s">
        <v>62</v>
      </c>
      <c r="B55" s="5">
        <v>31.8</v>
      </c>
      <c r="C55" s="6">
        <v>2339</v>
      </c>
      <c r="D55" s="7">
        <v>10615</v>
      </c>
      <c r="E55" s="7">
        <v>9813</v>
      </c>
      <c r="F55" s="7">
        <v>4262</v>
      </c>
      <c r="G55" s="8">
        <f t="shared" si="3"/>
        <v>10.615</v>
      </c>
      <c r="H55" s="8">
        <f t="shared" si="4"/>
        <v>9.8130000000000006</v>
      </c>
      <c r="I55" s="9">
        <f t="shared" si="5"/>
        <v>2.4906147348662602</v>
      </c>
      <c r="J55" s="10"/>
    </row>
    <row r="56" spans="1:10" x14ac:dyDescent="0.3">
      <c r="A56" s="11" t="s">
        <v>63</v>
      </c>
      <c r="B56" s="12">
        <v>189.65</v>
      </c>
      <c r="C56" s="13">
        <v>6663</v>
      </c>
      <c r="D56" s="14">
        <v>9935</v>
      </c>
      <c r="E56" s="14">
        <v>6591</v>
      </c>
      <c r="F56" s="14">
        <v>5929</v>
      </c>
      <c r="G56" s="15">
        <f t="shared" si="3"/>
        <v>9.9350000000000005</v>
      </c>
      <c r="H56" s="15">
        <f t="shared" si="4"/>
        <v>6.5910000000000002</v>
      </c>
      <c r="I56" s="16">
        <f t="shared" si="5"/>
        <v>1.675662000337325</v>
      </c>
      <c r="J56" s="17"/>
    </row>
    <row r="57" spans="1:10" x14ac:dyDescent="0.3">
      <c r="A57" s="4" t="s">
        <v>64</v>
      </c>
      <c r="B57" s="5">
        <v>49.08</v>
      </c>
      <c r="C57" s="6">
        <v>3023</v>
      </c>
      <c r="D57" s="7">
        <v>9862</v>
      </c>
      <c r="E57" s="7">
        <v>9301</v>
      </c>
      <c r="F57" s="7">
        <v>3629</v>
      </c>
      <c r="G57" s="8">
        <f t="shared" si="3"/>
        <v>9.8620000000000001</v>
      </c>
      <c r="H57" s="8">
        <f t="shared" si="4"/>
        <v>9.3010000000000002</v>
      </c>
      <c r="I57" s="9">
        <f t="shared" si="5"/>
        <v>2.7175530449159546</v>
      </c>
      <c r="J57" s="10"/>
    </row>
    <row r="58" spans="1:10" x14ac:dyDescent="0.3">
      <c r="A58" s="18" t="s">
        <v>65</v>
      </c>
      <c r="B58" s="19">
        <v>172.75</v>
      </c>
      <c r="C58" s="20">
        <v>5905</v>
      </c>
      <c r="D58" s="21">
        <v>9527</v>
      </c>
      <c r="E58" s="21">
        <v>6727</v>
      </c>
      <c r="F58" s="21">
        <v>2656</v>
      </c>
      <c r="G58" s="22">
        <f t="shared" si="3"/>
        <v>9.5269999999999992</v>
      </c>
      <c r="H58" s="22">
        <f t="shared" si="4"/>
        <v>6.7270000000000003</v>
      </c>
      <c r="I58" s="23">
        <f t="shared" si="5"/>
        <v>3.5869728915662651</v>
      </c>
      <c r="J58" s="24"/>
    </row>
    <row r="59" spans="1:10" x14ac:dyDescent="0.3">
      <c r="A59" s="18" t="s">
        <v>66</v>
      </c>
      <c r="B59" s="19">
        <v>286.07</v>
      </c>
      <c r="C59" s="20">
        <v>6866</v>
      </c>
      <c r="D59" s="21">
        <v>8728</v>
      </c>
      <c r="E59" s="21">
        <v>5244</v>
      </c>
      <c r="F59" s="21">
        <v>2661</v>
      </c>
      <c r="G59" s="22">
        <f t="shared" si="3"/>
        <v>8.7279999999999998</v>
      </c>
      <c r="H59" s="22">
        <f t="shared" si="4"/>
        <v>5.2439999999999998</v>
      </c>
      <c r="I59" s="23">
        <f t="shared" si="5"/>
        <v>3.2799699361142429</v>
      </c>
      <c r="J59" s="24"/>
    </row>
    <row r="60" spans="1:10" x14ac:dyDescent="0.3">
      <c r="A60" s="18" t="s">
        <v>67</v>
      </c>
      <c r="B60" s="19">
        <v>40.44</v>
      </c>
      <c r="C60" s="20">
        <v>2957</v>
      </c>
      <c r="D60" s="21">
        <v>8638</v>
      </c>
      <c r="E60" s="21">
        <v>7920</v>
      </c>
      <c r="F60" s="21">
        <v>2698</v>
      </c>
      <c r="G60" s="22">
        <f t="shared" si="3"/>
        <v>8.6379999999999999</v>
      </c>
      <c r="H60" s="22">
        <f t="shared" si="4"/>
        <v>7.92</v>
      </c>
      <c r="I60" s="23">
        <f t="shared" si="5"/>
        <v>3.201630837657524</v>
      </c>
      <c r="J60" s="24"/>
    </row>
    <row r="61" spans="1:10" x14ac:dyDescent="0.3">
      <c r="A61" s="4" t="s">
        <v>68</v>
      </c>
      <c r="B61" s="5">
        <v>46.34</v>
      </c>
      <c r="C61" s="6">
        <v>2872</v>
      </c>
      <c r="D61" s="7">
        <v>8060</v>
      </c>
      <c r="E61" s="7">
        <v>6402</v>
      </c>
      <c r="F61" s="7">
        <v>5202</v>
      </c>
      <c r="G61" s="8">
        <f t="shared" si="3"/>
        <v>8.06</v>
      </c>
      <c r="H61" s="8">
        <f t="shared" si="4"/>
        <v>6.4020000000000001</v>
      </c>
      <c r="I61" s="9">
        <f t="shared" si="5"/>
        <v>1.5494040753556324</v>
      </c>
      <c r="J61" s="10"/>
    </row>
    <row r="62" spans="1:10" x14ac:dyDescent="0.3">
      <c r="A62" s="11" t="s">
        <v>69</v>
      </c>
      <c r="B62" s="12">
        <v>33.869999999999997</v>
      </c>
      <c r="C62" s="13">
        <v>2696</v>
      </c>
      <c r="D62" s="14">
        <v>7715</v>
      </c>
      <c r="E62" s="14">
        <v>7715</v>
      </c>
      <c r="F62" s="14">
        <v>3966</v>
      </c>
      <c r="G62" s="15">
        <f t="shared" si="3"/>
        <v>7.7149999999999999</v>
      </c>
      <c r="H62" s="15">
        <f t="shared" si="4"/>
        <v>7.7149999999999999</v>
      </c>
      <c r="I62" s="16">
        <f t="shared" si="5"/>
        <v>1.9452849218356025</v>
      </c>
      <c r="J62" s="17"/>
    </row>
    <row r="63" spans="1:10" x14ac:dyDescent="0.3">
      <c r="A63" s="4" t="s">
        <v>70</v>
      </c>
      <c r="B63" s="5">
        <v>36.46</v>
      </c>
      <c r="C63" s="6">
        <v>2605</v>
      </c>
      <c r="D63" s="7">
        <v>7715</v>
      </c>
      <c r="E63" s="7">
        <v>7715</v>
      </c>
      <c r="F63" s="7">
        <v>3603</v>
      </c>
      <c r="G63" s="8">
        <f t="shared" si="3"/>
        <v>7.7149999999999999</v>
      </c>
      <c r="H63" s="8">
        <f t="shared" si="4"/>
        <v>7.7149999999999999</v>
      </c>
      <c r="I63" s="9">
        <f t="shared" si="5"/>
        <v>2.1412711629197889</v>
      </c>
      <c r="J63" s="10"/>
    </row>
    <row r="64" spans="1:10" x14ac:dyDescent="0.3">
      <c r="A64" s="11" t="s">
        <v>71</v>
      </c>
      <c r="B64" s="12">
        <v>3.24</v>
      </c>
      <c r="C64" s="13">
        <v>1056</v>
      </c>
      <c r="D64" s="14">
        <v>7715</v>
      </c>
      <c r="E64" s="14">
        <v>7715</v>
      </c>
      <c r="F64" s="14">
        <v>3969</v>
      </c>
      <c r="G64" s="15">
        <f t="shared" si="3"/>
        <v>7.7149999999999999</v>
      </c>
      <c r="H64" s="15">
        <f t="shared" si="4"/>
        <v>7.7149999999999999</v>
      </c>
      <c r="I64" s="16">
        <f t="shared" si="5"/>
        <v>1.9438145628621819</v>
      </c>
      <c r="J64" s="17"/>
    </row>
    <row r="65" spans="1:10" x14ac:dyDescent="0.3">
      <c r="A65" s="18" t="s">
        <v>72</v>
      </c>
      <c r="B65" s="19">
        <v>39.74</v>
      </c>
      <c r="C65" s="20">
        <v>3355</v>
      </c>
      <c r="D65" s="21">
        <v>7579</v>
      </c>
      <c r="E65" s="21">
        <v>6617</v>
      </c>
      <c r="F65" s="21">
        <v>1816</v>
      </c>
      <c r="G65" s="22">
        <f t="shared" si="3"/>
        <v>7.5789999999999997</v>
      </c>
      <c r="H65" s="22">
        <f t="shared" si="4"/>
        <v>6.617</v>
      </c>
      <c r="I65" s="23">
        <f t="shared" si="5"/>
        <v>4.1734581497797354</v>
      </c>
      <c r="J65" s="24"/>
    </row>
    <row r="66" spans="1:10" x14ac:dyDescent="0.3">
      <c r="A66" s="18" t="s">
        <v>73</v>
      </c>
      <c r="B66" s="19">
        <v>72.52</v>
      </c>
      <c r="C66" s="20">
        <v>3558</v>
      </c>
      <c r="D66" s="21">
        <v>7432</v>
      </c>
      <c r="E66" s="21">
        <v>6033</v>
      </c>
      <c r="F66" s="21">
        <v>1840</v>
      </c>
      <c r="G66" s="22">
        <f t="shared" si="3"/>
        <v>7.4320000000000004</v>
      </c>
      <c r="H66" s="22">
        <f t="shared" si="4"/>
        <v>6.0330000000000004</v>
      </c>
      <c r="I66" s="23">
        <f t="shared" si="5"/>
        <v>4.0391304347826091</v>
      </c>
      <c r="J66" s="24"/>
    </row>
    <row r="67" spans="1:10" x14ac:dyDescent="0.3">
      <c r="A67" s="18" t="s">
        <v>74</v>
      </c>
      <c r="B67" s="19">
        <v>93.41</v>
      </c>
      <c r="C67" s="20">
        <v>4212</v>
      </c>
      <c r="D67" s="21">
        <v>6651</v>
      </c>
      <c r="E67" s="21">
        <v>5303</v>
      </c>
      <c r="F67" s="21">
        <v>539</v>
      </c>
      <c r="G67" s="22">
        <f t="shared" si="3"/>
        <v>6.6509999999999998</v>
      </c>
      <c r="H67" s="22">
        <f t="shared" si="4"/>
        <v>5.3029999999999999</v>
      </c>
      <c r="I67" s="23">
        <f t="shared" si="5"/>
        <v>12.339517625231911</v>
      </c>
      <c r="J67" s="24"/>
    </row>
    <row r="68" spans="1:10" x14ac:dyDescent="0.3">
      <c r="A68" s="18" t="s">
        <v>75</v>
      </c>
      <c r="B68" s="19">
        <v>30.12</v>
      </c>
      <c r="C68" s="20">
        <v>2592</v>
      </c>
      <c r="D68" s="21">
        <v>6617</v>
      </c>
      <c r="E68" s="21">
        <v>5688</v>
      </c>
      <c r="F68" s="21">
        <v>929</v>
      </c>
      <c r="G68" s="22">
        <f t="shared" si="3"/>
        <v>6.617</v>
      </c>
      <c r="H68" s="22">
        <f t="shared" si="4"/>
        <v>5.6879999999999997</v>
      </c>
      <c r="I68" s="23">
        <f t="shared" si="5"/>
        <v>7.1227125941872984</v>
      </c>
      <c r="J68" s="24"/>
    </row>
    <row r="69" spans="1:10" x14ac:dyDescent="0.3">
      <c r="A69" s="18" t="s">
        <v>76</v>
      </c>
      <c r="B69" s="19">
        <v>159.81</v>
      </c>
      <c r="C69" s="20">
        <v>5989</v>
      </c>
      <c r="D69" s="21">
        <v>6061</v>
      </c>
      <c r="E69" s="21">
        <v>3243</v>
      </c>
      <c r="F69" s="21">
        <v>623</v>
      </c>
      <c r="G69" s="22">
        <f t="shared" si="3"/>
        <v>6.0609999999999999</v>
      </c>
      <c r="H69" s="22">
        <f t="shared" si="4"/>
        <v>3.2429999999999999</v>
      </c>
      <c r="I69" s="23">
        <f t="shared" si="5"/>
        <v>9.728731942215088</v>
      </c>
      <c r="J69" s="24"/>
    </row>
    <row r="70" spans="1:10" x14ac:dyDescent="0.3">
      <c r="A70" s="18" t="s">
        <v>77</v>
      </c>
      <c r="B70" s="19">
        <v>226.37</v>
      </c>
      <c r="C70" s="20">
        <v>7413</v>
      </c>
      <c r="D70" s="21">
        <v>6005</v>
      </c>
      <c r="E70" s="21">
        <v>3122</v>
      </c>
      <c r="F70" s="21">
        <v>554</v>
      </c>
      <c r="G70" s="22">
        <f t="shared" si="3"/>
        <v>6.0049999999999999</v>
      </c>
      <c r="H70" s="22">
        <f t="shared" si="4"/>
        <v>3.1219999999999999</v>
      </c>
      <c r="I70" s="23">
        <f t="shared" si="5"/>
        <v>10.839350180505415</v>
      </c>
      <c r="J70" s="24"/>
    </row>
    <row r="71" spans="1:10" x14ac:dyDescent="0.3">
      <c r="A71" s="18" t="s">
        <v>78</v>
      </c>
      <c r="B71" s="19">
        <v>127.8</v>
      </c>
      <c r="C71" s="20">
        <v>5228</v>
      </c>
      <c r="D71" s="21">
        <v>5303</v>
      </c>
      <c r="E71" s="21">
        <v>1483</v>
      </c>
      <c r="F71" s="21">
        <v>289</v>
      </c>
      <c r="G71" s="22">
        <f t="shared" si="3"/>
        <v>5.3029999999999999</v>
      </c>
      <c r="H71" s="22">
        <f t="shared" si="4"/>
        <v>1.4830000000000001</v>
      </c>
      <c r="I71" s="23">
        <f t="shared" si="5"/>
        <v>18.349480968858131</v>
      </c>
      <c r="J71" s="24"/>
    </row>
    <row r="72" spans="1:10" x14ac:dyDescent="0.3">
      <c r="A72" s="18" t="s">
        <v>79</v>
      </c>
      <c r="B72" s="19">
        <v>110.29</v>
      </c>
      <c r="C72" s="20">
        <v>5351</v>
      </c>
      <c r="D72" s="21">
        <v>4395</v>
      </c>
      <c r="E72" s="21">
        <v>616</v>
      </c>
      <c r="F72" s="21">
        <v>172</v>
      </c>
      <c r="G72" s="22">
        <f t="shared" si="3"/>
        <v>4.3949999999999996</v>
      </c>
      <c r="H72" s="22">
        <f t="shared" si="4"/>
        <v>0.61599999999999999</v>
      </c>
      <c r="I72" s="23">
        <f t="shared" si="5"/>
        <v>25.552325581395348</v>
      </c>
      <c r="J72" s="24"/>
    </row>
    <row r="73" spans="1:10" x14ac:dyDescent="0.3">
      <c r="A73" s="18" t="s">
        <v>80</v>
      </c>
      <c r="B73" s="19">
        <v>29.65</v>
      </c>
      <c r="C73" s="20">
        <v>2527</v>
      </c>
      <c r="D73" s="21">
        <v>1536</v>
      </c>
      <c r="E73" s="21">
        <v>266</v>
      </c>
      <c r="F73" s="21">
        <v>250</v>
      </c>
      <c r="G73" s="22">
        <f t="shared" si="3"/>
        <v>1.536</v>
      </c>
      <c r="H73" s="22">
        <f t="shared" si="4"/>
        <v>0.26600000000000001</v>
      </c>
      <c r="I73" s="23">
        <f t="shared" si="5"/>
        <v>6.1440000000000001</v>
      </c>
      <c r="J73" s="24"/>
    </row>
    <row r="75" spans="1:10" x14ac:dyDescent="0.3">
      <c r="A75" s="25" t="s">
        <v>81</v>
      </c>
      <c r="B75" s="26">
        <f>SUM(B5:B73)</f>
        <v>5718.9599999999991</v>
      </c>
      <c r="D75" s="27">
        <f>MAX(D5:D73)</f>
        <v>25675</v>
      </c>
      <c r="G75" s="28">
        <f>IFERROR(MAX(G5:G73),"")</f>
        <v>25.675000000000001</v>
      </c>
      <c r="I75" s="29">
        <f>IFERROR(AVERAGE(I5:I73),"")</f>
        <v>3.0374891226557881</v>
      </c>
    </row>
    <row r="76" spans="1:10" x14ac:dyDescent="0.3">
      <c r="A76" s="30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6" customWidth="1"/>
    <col min="2" max="2" width="95" customWidth="1"/>
  </cols>
  <sheetData>
    <row r="1" spans="1:2" ht="16.8" x14ac:dyDescent="0.3">
      <c r="A1" s="31" t="s">
        <v>83</v>
      </c>
    </row>
    <row r="3" spans="1:2" ht="30" customHeight="1" x14ac:dyDescent="0.3">
      <c r="A3" s="32" t="s">
        <v>84</v>
      </c>
      <c r="B3" s="33" t="s">
        <v>85</v>
      </c>
    </row>
    <row r="4" spans="1:2" ht="30" customHeight="1" x14ac:dyDescent="0.3">
      <c r="A4" s="32" t="s">
        <v>86</v>
      </c>
      <c r="B4" s="33" t="s">
        <v>87</v>
      </c>
    </row>
    <row r="5" spans="1:2" ht="30" customHeight="1" x14ac:dyDescent="0.3">
      <c r="A5" s="32" t="s">
        <v>88</v>
      </c>
      <c r="B5" s="33" t="s">
        <v>89</v>
      </c>
    </row>
    <row r="6" spans="1:2" ht="30" customHeight="1" x14ac:dyDescent="0.3">
      <c r="A6" s="32" t="s">
        <v>90</v>
      </c>
      <c r="B6" s="33" t="s">
        <v>91</v>
      </c>
    </row>
    <row r="7" spans="1:2" ht="30" customHeight="1" x14ac:dyDescent="0.3">
      <c r="A7" s="32" t="s">
        <v>92</v>
      </c>
      <c r="B7" s="33" t="s">
        <v>93</v>
      </c>
    </row>
    <row r="8" spans="1:2" ht="30" customHeight="1" x14ac:dyDescent="0.3">
      <c r="A8" s="32" t="s">
        <v>94</v>
      </c>
      <c r="B8" s="33" t="s">
        <v>95</v>
      </c>
    </row>
    <row r="9" spans="1:2" ht="30" customHeight="1" x14ac:dyDescent="0.3">
      <c r="A9" s="32" t="s">
        <v>96</v>
      </c>
      <c r="B9" s="33" t="s">
        <v>97</v>
      </c>
    </row>
    <row r="10" spans="1:2" ht="30" customHeight="1" x14ac:dyDescent="0.3">
      <c r="A10" s="32" t="s">
        <v>98</v>
      </c>
      <c r="B10" s="33" t="s">
        <v>99</v>
      </c>
    </row>
    <row r="11" spans="1:2" ht="30" customHeight="1" x14ac:dyDescent="0.3">
      <c r="A11" s="32" t="s">
        <v>100</v>
      </c>
      <c r="B11" s="33" t="s">
        <v>101</v>
      </c>
    </row>
    <row r="12" spans="1:2" ht="30" customHeight="1" x14ac:dyDescent="0.3">
      <c r="A12" s="32" t="s">
        <v>102</v>
      </c>
      <c r="B12" s="33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Distâncias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Maxsander dos Santos Vilela</cp:lastModifiedBy>
  <dcterms:created xsi:type="dcterms:W3CDTF">2026-09-17T16:11:46Z</dcterms:created>
  <dcterms:modified xsi:type="dcterms:W3CDTF">2026-09-17T16:11:52Z</dcterms:modified>
</cp:coreProperties>
</file>