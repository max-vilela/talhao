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laragon\www\talhoes-distancias\saidas\"/>
    </mc:Choice>
  </mc:AlternateContent>
  <xr:revisionPtr revIDLastSave="0" documentId="13_ncr:1_{B0AEEE07-04CC-41EE-84BE-8CA76D32505C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Distâncias" sheetId="1" r:id="rId1"/>
    <sheet name="Premiss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9" i="1" l="1"/>
  <c r="B109" i="1"/>
  <c r="I107" i="1"/>
  <c r="H107" i="1"/>
  <c r="G107" i="1"/>
  <c r="I106" i="1"/>
  <c r="H106" i="1"/>
  <c r="G106" i="1"/>
  <c r="I105" i="1"/>
  <c r="H105" i="1"/>
  <c r="G105" i="1"/>
  <c r="I104" i="1"/>
  <c r="H104" i="1"/>
  <c r="G104" i="1"/>
  <c r="I103" i="1"/>
  <c r="H103" i="1"/>
  <c r="G103" i="1"/>
  <c r="I102" i="1"/>
  <c r="H102" i="1"/>
  <c r="G102" i="1"/>
  <c r="I101" i="1"/>
  <c r="H101" i="1"/>
  <c r="G101" i="1"/>
  <c r="I100" i="1"/>
  <c r="H100" i="1"/>
  <c r="G100" i="1"/>
  <c r="I99" i="1"/>
  <c r="H99" i="1"/>
  <c r="G99" i="1"/>
  <c r="I98" i="1"/>
  <c r="H98" i="1"/>
  <c r="G98" i="1"/>
  <c r="I97" i="1"/>
  <c r="H97" i="1"/>
  <c r="G97" i="1"/>
  <c r="I96" i="1"/>
  <c r="H96" i="1"/>
  <c r="G96" i="1"/>
  <c r="I95" i="1"/>
  <c r="H95" i="1"/>
  <c r="G95" i="1"/>
  <c r="I94" i="1"/>
  <c r="H94" i="1"/>
  <c r="G94" i="1"/>
  <c r="I93" i="1"/>
  <c r="H93" i="1"/>
  <c r="G93" i="1"/>
  <c r="I92" i="1"/>
  <c r="H92" i="1"/>
  <c r="G92" i="1"/>
  <c r="I91" i="1"/>
  <c r="H91" i="1"/>
  <c r="G91" i="1"/>
  <c r="I90" i="1"/>
  <c r="H90" i="1"/>
  <c r="G90" i="1"/>
  <c r="I89" i="1"/>
  <c r="H89" i="1"/>
  <c r="G89" i="1"/>
  <c r="I88" i="1"/>
  <c r="H88" i="1"/>
  <c r="G88" i="1"/>
  <c r="I87" i="1"/>
  <c r="H87" i="1"/>
  <c r="G87" i="1"/>
  <c r="I86" i="1"/>
  <c r="H86" i="1"/>
  <c r="G86" i="1"/>
  <c r="I85" i="1"/>
  <c r="H85" i="1"/>
  <c r="G85" i="1"/>
  <c r="I84" i="1"/>
  <c r="H84" i="1"/>
  <c r="G84" i="1"/>
  <c r="I83" i="1"/>
  <c r="H83" i="1"/>
  <c r="G83" i="1"/>
  <c r="I82" i="1"/>
  <c r="H82" i="1"/>
  <c r="G82" i="1"/>
  <c r="I81" i="1"/>
  <c r="H81" i="1"/>
  <c r="G81" i="1"/>
  <c r="I80" i="1"/>
  <c r="H80" i="1"/>
  <c r="G80" i="1"/>
  <c r="I79" i="1"/>
  <c r="H79" i="1"/>
  <c r="G79" i="1"/>
  <c r="I78" i="1"/>
  <c r="H78" i="1"/>
  <c r="G78" i="1"/>
  <c r="I77" i="1"/>
  <c r="H77" i="1"/>
  <c r="G77" i="1"/>
  <c r="I76" i="1"/>
  <c r="H76" i="1"/>
  <c r="G76" i="1"/>
  <c r="I75" i="1"/>
  <c r="H75" i="1"/>
  <c r="G75" i="1"/>
  <c r="I74" i="1"/>
  <c r="H74" i="1"/>
  <c r="G74" i="1"/>
  <c r="I73" i="1"/>
  <c r="H73" i="1"/>
  <c r="G73" i="1"/>
  <c r="I72" i="1"/>
  <c r="H72" i="1"/>
  <c r="G72" i="1"/>
  <c r="I71" i="1"/>
  <c r="H71" i="1"/>
  <c r="G71" i="1"/>
  <c r="I70" i="1"/>
  <c r="H70" i="1"/>
  <c r="G70" i="1"/>
  <c r="I69" i="1"/>
  <c r="H69" i="1"/>
  <c r="G69" i="1"/>
  <c r="I68" i="1"/>
  <c r="H68" i="1"/>
  <c r="G68" i="1"/>
  <c r="I67" i="1"/>
  <c r="H67" i="1"/>
  <c r="G67" i="1"/>
  <c r="I66" i="1"/>
  <c r="H66" i="1"/>
  <c r="G66" i="1"/>
  <c r="I65" i="1"/>
  <c r="H65" i="1"/>
  <c r="G65" i="1"/>
  <c r="I64" i="1"/>
  <c r="H64" i="1"/>
  <c r="G64" i="1"/>
  <c r="I63" i="1"/>
  <c r="H63" i="1"/>
  <c r="G63" i="1"/>
  <c r="I62" i="1"/>
  <c r="H62" i="1"/>
  <c r="G62" i="1"/>
  <c r="I61" i="1"/>
  <c r="H61" i="1"/>
  <c r="G61" i="1"/>
  <c r="I60" i="1"/>
  <c r="H60" i="1"/>
  <c r="G60" i="1"/>
  <c r="I59" i="1"/>
  <c r="H59" i="1"/>
  <c r="G59" i="1"/>
  <c r="I58" i="1"/>
  <c r="H58" i="1"/>
  <c r="G58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H53" i="1"/>
  <c r="G53" i="1"/>
  <c r="I52" i="1"/>
  <c r="H52" i="1"/>
  <c r="G52" i="1"/>
  <c r="I51" i="1"/>
  <c r="H51" i="1"/>
  <c r="G51" i="1"/>
  <c r="I50" i="1"/>
  <c r="H50" i="1"/>
  <c r="G50" i="1"/>
  <c r="I49" i="1"/>
  <c r="H49" i="1"/>
  <c r="G49" i="1"/>
  <c r="I48" i="1"/>
  <c r="H48" i="1"/>
  <c r="G48" i="1"/>
  <c r="I47" i="1"/>
  <c r="H47" i="1"/>
  <c r="G47" i="1"/>
  <c r="I46" i="1"/>
  <c r="H46" i="1"/>
  <c r="G46" i="1"/>
  <c r="I45" i="1"/>
  <c r="H45" i="1"/>
  <c r="G45" i="1"/>
  <c r="I44" i="1"/>
  <c r="H44" i="1"/>
  <c r="G44" i="1"/>
  <c r="I43" i="1"/>
  <c r="H43" i="1"/>
  <c r="G43" i="1"/>
  <c r="I42" i="1"/>
  <c r="H42" i="1"/>
  <c r="G42" i="1"/>
  <c r="I41" i="1"/>
  <c r="H41" i="1"/>
  <c r="G41" i="1"/>
  <c r="I40" i="1"/>
  <c r="H40" i="1"/>
  <c r="G40" i="1"/>
  <c r="I39" i="1"/>
  <c r="H39" i="1"/>
  <c r="G39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G109" i="1" l="1"/>
  <c r="I109" i="1"/>
</calcChain>
</file>

<file path=xl/sharedStrings.xml><?xml version="1.0" encoding="utf-8"?>
<sst xmlns="http://schemas.openxmlformats.org/spreadsheetml/2006/main" count="138" uniqueCount="138">
  <si>
    <t>FAZENDA GALHEIRO — distância dos talhões até a sede</t>
  </si>
  <si>
    <t>Percurso pelas estradas/carreadores, até o ponto mais extremo do talhão.</t>
  </si>
  <si>
    <t>Talhão</t>
  </si>
  <si>
    <t>Área (ha)</t>
  </si>
  <si>
    <t>Perímetro (m)</t>
  </si>
  <si>
    <t>Dist. máxima (m)</t>
  </si>
  <si>
    <t>Dist. mínima (m)</t>
  </si>
  <si>
    <t>Linha reta (m)</t>
  </si>
  <si>
    <t>Máxima (km)</t>
  </si>
  <si>
    <t>Mínima (km)</t>
  </si>
  <si>
    <t>Fator estrada/reta</t>
  </si>
  <si>
    <t>Observação</t>
  </si>
  <si>
    <t>QL-12</t>
  </si>
  <si>
    <t>QL-13</t>
  </si>
  <si>
    <t>QL-14</t>
  </si>
  <si>
    <t>QL-04</t>
  </si>
  <si>
    <t>QL-05</t>
  </si>
  <si>
    <t>QL-09</t>
  </si>
  <si>
    <t>R-47</t>
  </si>
  <si>
    <t>QL-02</t>
  </si>
  <si>
    <t>QL-11</t>
  </si>
  <si>
    <t>R-48</t>
  </si>
  <si>
    <t>QL-03</t>
  </si>
  <si>
    <t>QL-08</t>
  </si>
  <si>
    <t>QL-06</t>
  </si>
  <si>
    <t>R-46B</t>
  </si>
  <si>
    <t>QL-10</t>
  </si>
  <si>
    <t>QL-07</t>
  </si>
  <si>
    <t>R-46A</t>
  </si>
  <si>
    <t>QL-01</t>
  </si>
  <si>
    <t>R-45</t>
  </si>
  <si>
    <t>R-46</t>
  </si>
  <si>
    <t>R-42A</t>
  </si>
  <si>
    <t>R-32</t>
  </si>
  <si>
    <t>R-41</t>
  </si>
  <si>
    <t>R-33</t>
  </si>
  <si>
    <t>R-42</t>
  </si>
  <si>
    <t>R-05A</t>
  </si>
  <si>
    <t>R-18</t>
  </si>
  <si>
    <t>R-07</t>
  </si>
  <si>
    <t>R-08</t>
  </si>
  <si>
    <t>R-45A</t>
  </si>
  <si>
    <t>R-05</t>
  </si>
  <si>
    <t>R-04</t>
  </si>
  <si>
    <t>R-17A</t>
  </si>
  <si>
    <t>R-31</t>
  </si>
  <si>
    <t>R-06</t>
  </si>
  <si>
    <t>R-36</t>
  </si>
  <si>
    <t>R-43</t>
  </si>
  <si>
    <t>R-44</t>
  </si>
  <si>
    <t>R-26</t>
  </si>
  <si>
    <t>T-CONF</t>
  </si>
  <si>
    <t>R-35</t>
  </si>
  <si>
    <t>R-40</t>
  </si>
  <si>
    <t>G-11</t>
  </si>
  <si>
    <t>R-17B</t>
  </si>
  <si>
    <t>R-37</t>
  </si>
  <si>
    <t>R-02</t>
  </si>
  <si>
    <t>G-23</t>
  </si>
  <si>
    <t>G-0910</t>
  </si>
  <si>
    <t>R-30</t>
  </si>
  <si>
    <t>G-17</t>
  </si>
  <si>
    <t>R-03</t>
  </si>
  <si>
    <t>R-34A</t>
  </si>
  <si>
    <t>R-22</t>
  </si>
  <si>
    <t>G-24B</t>
  </si>
  <si>
    <t>R-29</t>
  </si>
  <si>
    <t>R-25</t>
  </si>
  <si>
    <t>G-01</t>
  </si>
  <si>
    <t>R-34</t>
  </si>
  <si>
    <t>G-18</t>
  </si>
  <si>
    <t>R-16</t>
  </si>
  <si>
    <t>R-01</t>
  </si>
  <si>
    <t>R-24</t>
  </si>
  <si>
    <t>G-24A</t>
  </si>
  <si>
    <t>G-02</t>
  </si>
  <si>
    <t>R-21</t>
  </si>
  <si>
    <t>G-26</t>
  </si>
  <si>
    <t>R-22A</t>
  </si>
  <si>
    <t>R-28</t>
  </si>
  <si>
    <t>G-19</t>
  </si>
  <si>
    <t>R-19A</t>
  </si>
  <si>
    <t>R-15</t>
  </si>
  <si>
    <t>G-08A</t>
  </si>
  <si>
    <t>R-23</t>
  </si>
  <si>
    <t>G-12</t>
  </si>
  <si>
    <t>G-03</t>
  </si>
  <si>
    <t>R-14</t>
  </si>
  <si>
    <t>R-20</t>
  </si>
  <si>
    <t>R-27</t>
  </si>
  <si>
    <t>G-25</t>
  </si>
  <si>
    <t>G-13B</t>
  </si>
  <si>
    <t>G-20</t>
  </si>
  <si>
    <t>R-09</t>
  </si>
  <si>
    <t>G-04</t>
  </si>
  <si>
    <t>G-27</t>
  </si>
  <si>
    <t>G-05</t>
  </si>
  <si>
    <t>G-07</t>
  </si>
  <si>
    <t>R-13</t>
  </si>
  <si>
    <t>R-19 20</t>
  </si>
  <si>
    <t>G-28</t>
  </si>
  <si>
    <t>G-06A</t>
  </si>
  <si>
    <t>G-13A</t>
  </si>
  <si>
    <t>G-14A</t>
  </si>
  <si>
    <t>G-29</t>
  </si>
  <si>
    <t>G-14B</t>
  </si>
  <si>
    <t>G-15</t>
  </si>
  <si>
    <t>G-08</t>
  </si>
  <si>
    <t>G-08B</t>
  </si>
  <si>
    <t>G-21</t>
  </si>
  <si>
    <t>R-12</t>
  </si>
  <si>
    <t>G-06B</t>
  </si>
  <si>
    <t>G-16</t>
  </si>
  <si>
    <t>G-22</t>
  </si>
  <si>
    <t>PAST</t>
  </si>
  <si>
    <t>TOTAL / MÁXIMO</t>
  </si>
  <si>
    <t>Fundo amarelo = precisa de conferência: fator ≥ 3,0, ligação suposta, ou talhão sem estrada. Veja a coluna Observação.</t>
  </si>
  <si>
    <t>Como estes números foram calculados</t>
  </si>
  <si>
    <t>Origem</t>
  </si>
  <si>
    <t>Ponto de sede do projeto do Google Earth (-15.308293, -54.597033).</t>
  </si>
  <si>
    <t>Talhões</t>
  </si>
  <si>
    <t>103 polígonos da pasta FAZENDA GALHEIRO.</t>
  </si>
  <si>
    <t>Malha de estradas</t>
  </si>
  <si>
    <t>Divisas dos talhões (os carreadores correm nas divisas), costuradas onde talhões vizinhos são separados pela faixa do carreador (até 45 m), mais as estradas de dados/estradas_extra.json.</t>
  </si>
  <si>
    <t>Dist. máxima</t>
  </si>
  <si>
    <t>Menor caminho pela estrada, da sede até o ponto MAIS EXTREMO do perímetro do talhão. Não corta por dentro da lavoura.</t>
  </si>
  <si>
    <t>Dist. mínima</t>
  </si>
  <si>
    <t>Menor caminho pela estrada, da sede até o ponto de acesso mais próximo.</t>
  </si>
  <si>
    <t>Linha reta</t>
  </si>
  <si>
    <t>Distância em linha reta da sede até a borda do talhão. Só referência.</t>
  </si>
  <si>
    <t>Fator</t>
  </si>
  <si>
    <t>Dist. máxima ÷ linha reta. Fator alto = rota indireta, ou estrada faltando na malha.</t>
  </si>
  <si>
    <t>Coordenadas</t>
  </si>
  <si>
    <t>SIRGAS 2000 / UTM 21S (EPSG:31981) para distâncias e áreas.</t>
  </si>
  <si>
    <t>Resolução</t>
  </si>
  <si>
    <t>Malha densificada a cada 25 m — é a precisão do 'ponto mais extremo'.</t>
  </si>
  <si>
    <t>Validação</t>
  </si>
  <si>
    <t>A malha precisa ser conferida por quem roda a fazenda. Use o arquivo _bancada.html.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</si>
</sst>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i/>
      <sz val="10"/>
      <color rgb="FF80808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i/>
      <sz val="9"/>
      <color rgb="FF000000"/>
      <name val="Arial"/>
      <family val="2"/>
    </font>
    <font>
      <i/>
      <sz val="9"/>
      <color rgb="FF808080"/>
      <name val="Arial"/>
      <family val="2"/>
    </font>
    <font>
      <b/>
      <sz val="1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/>
    <xf numFmtId="164" fontId="5" fillId="0" borderId="1" xfId="0" applyNumberFormat="1" applyFont="1" applyBorder="1"/>
    <xf numFmtId="3" fontId="5" fillId="0" borderId="1" xfId="0" applyNumberFormat="1" applyFont="1" applyBorder="1"/>
    <xf numFmtId="3" fontId="6" fillId="0" borderId="1" xfId="0" applyNumberFormat="1" applyFont="1" applyBorder="1"/>
    <xf numFmtId="4" fontId="5" fillId="0" borderId="1" xfId="0" applyNumberFormat="1" applyFont="1" applyBorder="1"/>
    <xf numFmtId="2" fontId="5" fillId="0" borderId="1" xfId="0" applyNumberFormat="1" applyFont="1" applyBorder="1"/>
    <xf numFmtId="0" fontId="7" fillId="0" borderId="1" xfId="0" applyFont="1" applyBorder="1"/>
    <xf numFmtId="0" fontId="4" fillId="3" borderId="1" xfId="0" applyFont="1" applyFill="1" applyBorder="1"/>
    <xf numFmtId="164" fontId="5" fillId="3" borderId="1" xfId="0" applyNumberFormat="1" applyFont="1" applyFill="1" applyBorder="1"/>
    <xf numFmtId="3" fontId="5" fillId="3" borderId="1" xfId="0" applyNumberFormat="1" applyFont="1" applyFill="1" applyBorder="1"/>
    <xf numFmtId="3" fontId="6" fillId="3" borderId="1" xfId="0" applyNumberFormat="1" applyFont="1" applyFill="1" applyBorder="1"/>
    <xf numFmtId="4" fontId="5" fillId="3" borderId="1" xfId="0" applyNumberFormat="1" applyFont="1" applyFill="1" applyBorder="1"/>
    <xf numFmtId="2" fontId="5" fillId="3" borderId="1" xfId="0" applyNumberFormat="1" applyFont="1" applyFill="1" applyBorder="1"/>
    <xf numFmtId="0" fontId="7" fillId="3" borderId="1" xfId="0" applyFont="1" applyFill="1" applyBorder="1"/>
    <xf numFmtId="0" fontId="4" fillId="4" borderId="1" xfId="0" applyFont="1" applyFill="1" applyBorder="1"/>
    <xf numFmtId="164" fontId="5" fillId="4" borderId="1" xfId="0" applyNumberFormat="1" applyFont="1" applyFill="1" applyBorder="1"/>
    <xf numFmtId="3" fontId="5" fillId="4" borderId="1" xfId="0" applyNumberFormat="1" applyFont="1" applyFill="1" applyBorder="1"/>
    <xf numFmtId="3" fontId="6" fillId="4" borderId="1" xfId="0" applyNumberFormat="1" applyFont="1" applyFill="1" applyBorder="1"/>
    <xf numFmtId="4" fontId="5" fillId="4" borderId="1" xfId="0" applyNumberFormat="1" applyFont="1" applyFill="1" applyBorder="1"/>
    <xf numFmtId="2" fontId="5" fillId="4" borderId="1" xfId="0" applyNumberFormat="1" applyFont="1" applyFill="1" applyBorder="1"/>
    <xf numFmtId="0" fontId="7" fillId="4" borderId="1" xfId="0" applyFont="1" applyFill="1" applyBorder="1"/>
    <xf numFmtId="0" fontId="4" fillId="0" borderId="0" xfId="0" applyFont="1"/>
    <xf numFmtId="164" fontId="4" fillId="0" borderId="0" xfId="0" applyNumberFormat="1" applyFont="1"/>
    <xf numFmtId="3" fontId="4" fillId="0" borderId="0" xfId="0" applyNumberFormat="1" applyFont="1"/>
    <xf numFmtId="4" fontId="4" fillId="0" borderId="0" xfId="0" applyNumberFormat="1" applyFont="1"/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0"/>
  <sheetViews>
    <sheetView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2" customWidth="1"/>
    <col min="2" max="2" width="11" customWidth="1"/>
    <col min="3" max="3" width="14" customWidth="1"/>
    <col min="4" max="5" width="16" customWidth="1"/>
    <col min="6" max="6" width="14" customWidth="1"/>
    <col min="7" max="8" width="12" customWidth="1"/>
    <col min="9" max="9" width="17" customWidth="1"/>
    <col min="10" max="10" width="34" customWidth="1"/>
  </cols>
  <sheetData>
    <row r="1" spans="1:10" ht="17.399999999999999" x14ac:dyDescent="0.3">
      <c r="A1" s="1" t="s">
        <v>0</v>
      </c>
    </row>
    <row r="2" spans="1:10" x14ac:dyDescent="0.3">
      <c r="A2" s="2" t="s">
        <v>1</v>
      </c>
    </row>
    <row r="4" spans="1:10" ht="30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3">
      <c r="A5" s="4" t="s">
        <v>12</v>
      </c>
      <c r="B5" s="5">
        <v>93.4</v>
      </c>
      <c r="C5" s="6">
        <v>4095</v>
      </c>
      <c r="D5" s="7">
        <v>27701</v>
      </c>
      <c r="E5" s="7">
        <v>25608</v>
      </c>
      <c r="F5" s="7">
        <v>15632</v>
      </c>
      <c r="G5" s="8">
        <f t="shared" ref="G5:G36" si="0">D5/1000</f>
        <v>27.701000000000001</v>
      </c>
      <c r="H5" s="8">
        <f t="shared" ref="H5:H36" si="1">E5/1000</f>
        <v>25.608000000000001</v>
      </c>
      <c r="I5" s="9">
        <f t="shared" ref="I5:I36" si="2">IFERROR(D5/F5,"")</f>
        <v>1.7720701125895599</v>
      </c>
      <c r="J5" s="10"/>
    </row>
    <row r="6" spans="1:10" x14ac:dyDescent="0.3">
      <c r="A6" s="11" t="s">
        <v>13</v>
      </c>
      <c r="B6" s="12">
        <v>206.71</v>
      </c>
      <c r="C6" s="13">
        <v>5758</v>
      </c>
      <c r="D6" s="14">
        <v>27570</v>
      </c>
      <c r="E6" s="14">
        <v>21763</v>
      </c>
      <c r="F6" s="14">
        <v>16801</v>
      </c>
      <c r="G6" s="15">
        <f t="shared" si="0"/>
        <v>27.57</v>
      </c>
      <c r="H6" s="15">
        <f t="shared" si="1"/>
        <v>21.763000000000002</v>
      </c>
      <c r="I6" s="16">
        <f t="shared" si="2"/>
        <v>1.640973751562407</v>
      </c>
      <c r="J6" s="17"/>
    </row>
    <row r="7" spans="1:10" x14ac:dyDescent="0.3">
      <c r="A7" s="4" t="s">
        <v>14</v>
      </c>
      <c r="B7" s="5">
        <v>264.92</v>
      </c>
      <c r="C7" s="6">
        <v>6610</v>
      </c>
      <c r="D7" s="7">
        <v>25725</v>
      </c>
      <c r="E7" s="7">
        <v>22431</v>
      </c>
      <c r="F7" s="7">
        <v>18196</v>
      </c>
      <c r="G7" s="8">
        <f t="shared" si="0"/>
        <v>25.725000000000001</v>
      </c>
      <c r="H7" s="8">
        <f t="shared" si="1"/>
        <v>22.431000000000001</v>
      </c>
      <c r="I7" s="9">
        <f t="shared" si="2"/>
        <v>1.4137722576390415</v>
      </c>
      <c r="J7" s="10"/>
    </row>
    <row r="8" spans="1:10" x14ac:dyDescent="0.3">
      <c r="A8" s="11" t="s">
        <v>15</v>
      </c>
      <c r="B8" s="12">
        <v>187.98</v>
      </c>
      <c r="C8" s="13">
        <v>5527</v>
      </c>
      <c r="D8" s="14">
        <v>17196</v>
      </c>
      <c r="E8" s="14">
        <v>14463</v>
      </c>
      <c r="F8" s="14">
        <v>12272</v>
      </c>
      <c r="G8" s="15">
        <f t="shared" si="0"/>
        <v>17.196000000000002</v>
      </c>
      <c r="H8" s="15">
        <f t="shared" si="1"/>
        <v>14.462999999999999</v>
      </c>
      <c r="I8" s="16">
        <f t="shared" si="2"/>
        <v>1.401238591916558</v>
      </c>
      <c r="J8" s="17"/>
    </row>
    <row r="9" spans="1:10" x14ac:dyDescent="0.3">
      <c r="A9" s="4" t="s">
        <v>16</v>
      </c>
      <c r="B9" s="5">
        <v>101.29</v>
      </c>
      <c r="C9" s="6">
        <v>4656</v>
      </c>
      <c r="D9" s="7">
        <v>16603</v>
      </c>
      <c r="E9" s="7">
        <v>15732</v>
      </c>
      <c r="F9" s="7">
        <v>13485</v>
      </c>
      <c r="G9" s="8">
        <f t="shared" si="0"/>
        <v>16.603000000000002</v>
      </c>
      <c r="H9" s="8">
        <f t="shared" si="1"/>
        <v>15.731999999999999</v>
      </c>
      <c r="I9" s="9">
        <f t="shared" si="2"/>
        <v>1.2312198739340008</v>
      </c>
      <c r="J9" s="10"/>
    </row>
    <row r="10" spans="1:10" x14ac:dyDescent="0.3">
      <c r="A10" s="11" t="s">
        <v>17</v>
      </c>
      <c r="B10" s="12">
        <v>112.46</v>
      </c>
      <c r="C10" s="13">
        <v>4616</v>
      </c>
      <c r="D10" s="14">
        <v>16603</v>
      </c>
      <c r="E10" s="14">
        <v>15732</v>
      </c>
      <c r="F10" s="14">
        <v>12954</v>
      </c>
      <c r="G10" s="15">
        <f t="shared" si="0"/>
        <v>16.603000000000002</v>
      </c>
      <c r="H10" s="15">
        <f t="shared" si="1"/>
        <v>15.731999999999999</v>
      </c>
      <c r="I10" s="16">
        <f t="shared" si="2"/>
        <v>1.2816890535741856</v>
      </c>
      <c r="J10" s="17"/>
    </row>
    <row r="11" spans="1:10" x14ac:dyDescent="0.3">
      <c r="A11" s="4" t="s">
        <v>18</v>
      </c>
      <c r="B11" s="5">
        <v>102.6</v>
      </c>
      <c r="C11" s="6">
        <v>4825</v>
      </c>
      <c r="D11" s="7">
        <v>16284</v>
      </c>
      <c r="E11" s="7">
        <v>14256</v>
      </c>
      <c r="F11" s="7">
        <v>9340</v>
      </c>
      <c r="G11" s="8">
        <f t="shared" si="0"/>
        <v>16.283999999999999</v>
      </c>
      <c r="H11" s="8">
        <f t="shared" si="1"/>
        <v>14.256</v>
      </c>
      <c r="I11" s="9">
        <f t="shared" si="2"/>
        <v>1.7434689507494647</v>
      </c>
      <c r="J11" s="10"/>
    </row>
    <row r="12" spans="1:10" x14ac:dyDescent="0.3">
      <c r="A12" s="11" t="s">
        <v>19</v>
      </c>
      <c r="B12" s="12">
        <v>115.34</v>
      </c>
      <c r="C12" s="13">
        <v>4522</v>
      </c>
      <c r="D12" s="14">
        <v>15992</v>
      </c>
      <c r="E12" s="14">
        <v>14225</v>
      </c>
      <c r="F12" s="14">
        <v>10721</v>
      </c>
      <c r="G12" s="15">
        <f t="shared" si="0"/>
        <v>15.992000000000001</v>
      </c>
      <c r="H12" s="15">
        <f t="shared" si="1"/>
        <v>14.225</v>
      </c>
      <c r="I12" s="16">
        <f t="shared" si="2"/>
        <v>1.4916518981438298</v>
      </c>
      <c r="J12" s="17"/>
    </row>
    <row r="13" spans="1:10" x14ac:dyDescent="0.3">
      <c r="A13" s="4" t="s">
        <v>20</v>
      </c>
      <c r="B13" s="5">
        <v>105.12</v>
      </c>
      <c r="C13" s="6">
        <v>4649</v>
      </c>
      <c r="D13" s="7">
        <v>15954</v>
      </c>
      <c r="E13" s="7">
        <v>14038</v>
      </c>
      <c r="F13" s="7">
        <v>12254</v>
      </c>
      <c r="G13" s="8">
        <f t="shared" si="0"/>
        <v>15.954000000000001</v>
      </c>
      <c r="H13" s="8">
        <f t="shared" si="1"/>
        <v>14.038</v>
      </c>
      <c r="I13" s="9">
        <f t="shared" si="2"/>
        <v>1.301942222947609</v>
      </c>
      <c r="J13" s="10"/>
    </row>
    <row r="14" spans="1:10" x14ac:dyDescent="0.3">
      <c r="A14" s="11" t="s">
        <v>21</v>
      </c>
      <c r="B14" s="12">
        <v>34.1</v>
      </c>
      <c r="C14" s="13">
        <v>2974</v>
      </c>
      <c r="D14" s="14">
        <v>15926</v>
      </c>
      <c r="E14" s="14">
        <v>13968</v>
      </c>
      <c r="F14" s="14">
        <v>10498</v>
      </c>
      <c r="G14" s="15">
        <f t="shared" si="0"/>
        <v>15.926</v>
      </c>
      <c r="H14" s="15">
        <f t="shared" si="1"/>
        <v>13.968</v>
      </c>
      <c r="I14" s="16">
        <f t="shared" si="2"/>
        <v>1.5170508668317775</v>
      </c>
      <c r="J14" s="17"/>
    </row>
    <row r="15" spans="1:10" x14ac:dyDescent="0.3">
      <c r="A15" s="4" t="s">
        <v>22</v>
      </c>
      <c r="B15" s="5">
        <v>150.12</v>
      </c>
      <c r="C15" s="6">
        <v>5537</v>
      </c>
      <c r="D15" s="7">
        <v>15866</v>
      </c>
      <c r="E15" s="7">
        <v>14371</v>
      </c>
      <c r="F15" s="7">
        <v>10594</v>
      </c>
      <c r="G15" s="8">
        <f t="shared" si="0"/>
        <v>15.866</v>
      </c>
      <c r="H15" s="8">
        <f t="shared" si="1"/>
        <v>14.371</v>
      </c>
      <c r="I15" s="9">
        <f t="shared" si="2"/>
        <v>1.497640173683217</v>
      </c>
      <c r="J15" s="10"/>
    </row>
    <row r="16" spans="1:10" x14ac:dyDescent="0.3">
      <c r="A16" s="11" t="s">
        <v>23</v>
      </c>
      <c r="B16" s="12">
        <v>110.65</v>
      </c>
      <c r="C16" s="13">
        <v>4294</v>
      </c>
      <c r="D16" s="14">
        <v>15792</v>
      </c>
      <c r="E16" s="14">
        <v>14538</v>
      </c>
      <c r="F16" s="14">
        <v>12248</v>
      </c>
      <c r="G16" s="15">
        <f t="shared" si="0"/>
        <v>15.792</v>
      </c>
      <c r="H16" s="15">
        <f t="shared" si="1"/>
        <v>14.538</v>
      </c>
      <c r="I16" s="16">
        <f t="shared" si="2"/>
        <v>1.2893533638145003</v>
      </c>
      <c r="J16" s="17"/>
    </row>
    <row r="17" spans="1:10" x14ac:dyDescent="0.3">
      <c r="A17" s="4" t="s">
        <v>24</v>
      </c>
      <c r="B17" s="5">
        <v>39.909999999999997</v>
      </c>
      <c r="C17" s="6">
        <v>3529</v>
      </c>
      <c r="D17" s="7">
        <v>15516</v>
      </c>
      <c r="E17" s="7">
        <v>14549</v>
      </c>
      <c r="F17" s="7">
        <v>10408</v>
      </c>
      <c r="G17" s="8">
        <f t="shared" si="0"/>
        <v>15.516</v>
      </c>
      <c r="H17" s="8">
        <f t="shared" si="1"/>
        <v>14.548999999999999</v>
      </c>
      <c r="I17" s="9">
        <f t="shared" si="2"/>
        <v>1.4907763259031515</v>
      </c>
      <c r="J17" s="10"/>
    </row>
    <row r="18" spans="1:10" x14ac:dyDescent="0.3">
      <c r="A18" s="11" t="s">
        <v>25</v>
      </c>
      <c r="B18" s="12">
        <v>43.82</v>
      </c>
      <c r="C18" s="13">
        <v>2753</v>
      </c>
      <c r="D18" s="14">
        <v>15363</v>
      </c>
      <c r="E18" s="14">
        <v>13685</v>
      </c>
      <c r="F18" s="14">
        <v>10975</v>
      </c>
      <c r="G18" s="15">
        <f t="shared" si="0"/>
        <v>15.363</v>
      </c>
      <c r="H18" s="15">
        <f t="shared" si="1"/>
        <v>13.685</v>
      </c>
      <c r="I18" s="16">
        <f t="shared" si="2"/>
        <v>1.3998177676537586</v>
      </c>
      <c r="J18" s="17"/>
    </row>
    <row r="19" spans="1:10" x14ac:dyDescent="0.3">
      <c r="A19" s="4" t="s">
        <v>26</v>
      </c>
      <c r="B19" s="5">
        <v>24.13</v>
      </c>
      <c r="C19" s="6">
        <v>2354</v>
      </c>
      <c r="D19" s="7">
        <v>15273</v>
      </c>
      <c r="E19" s="7">
        <v>13830</v>
      </c>
      <c r="F19" s="7">
        <v>11750</v>
      </c>
      <c r="G19" s="8">
        <f t="shared" si="0"/>
        <v>15.273</v>
      </c>
      <c r="H19" s="8">
        <f t="shared" si="1"/>
        <v>13.83</v>
      </c>
      <c r="I19" s="9">
        <f t="shared" si="2"/>
        <v>1.2998297872340425</v>
      </c>
      <c r="J19" s="10"/>
    </row>
    <row r="20" spans="1:10" x14ac:dyDescent="0.3">
      <c r="A20" s="11" t="s">
        <v>27</v>
      </c>
      <c r="B20" s="12">
        <v>148.63999999999999</v>
      </c>
      <c r="C20" s="13">
        <v>5030</v>
      </c>
      <c r="D20" s="14">
        <v>15025</v>
      </c>
      <c r="E20" s="14">
        <v>13641</v>
      </c>
      <c r="F20" s="14">
        <v>11235</v>
      </c>
      <c r="G20" s="15">
        <f t="shared" si="0"/>
        <v>15.025</v>
      </c>
      <c r="H20" s="15">
        <f t="shared" si="1"/>
        <v>13.641</v>
      </c>
      <c r="I20" s="16">
        <f t="shared" si="2"/>
        <v>1.3373386737872719</v>
      </c>
      <c r="J20" s="17"/>
    </row>
    <row r="21" spans="1:10" x14ac:dyDescent="0.3">
      <c r="A21" s="4" t="s">
        <v>28</v>
      </c>
      <c r="B21" s="5">
        <v>53.75</v>
      </c>
      <c r="C21" s="6">
        <v>2912</v>
      </c>
      <c r="D21" s="7">
        <v>14987</v>
      </c>
      <c r="E21" s="7">
        <v>14077</v>
      </c>
      <c r="F21" s="7">
        <v>10887</v>
      </c>
      <c r="G21" s="8">
        <f t="shared" si="0"/>
        <v>14.987</v>
      </c>
      <c r="H21" s="8">
        <f t="shared" si="1"/>
        <v>14.077</v>
      </c>
      <c r="I21" s="9">
        <f t="shared" si="2"/>
        <v>1.3765959401120602</v>
      </c>
      <c r="J21" s="10"/>
    </row>
    <row r="22" spans="1:10" x14ac:dyDescent="0.3">
      <c r="A22" s="11" t="s">
        <v>29</v>
      </c>
      <c r="B22" s="12">
        <v>91.09</v>
      </c>
      <c r="C22" s="13">
        <v>4800</v>
      </c>
      <c r="D22" s="14">
        <v>14838</v>
      </c>
      <c r="E22" s="14">
        <v>12801</v>
      </c>
      <c r="F22" s="14">
        <v>9296</v>
      </c>
      <c r="G22" s="15">
        <f t="shared" si="0"/>
        <v>14.837999999999999</v>
      </c>
      <c r="H22" s="15">
        <f t="shared" si="1"/>
        <v>12.801</v>
      </c>
      <c r="I22" s="16">
        <f t="shared" si="2"/>
        <v>1.5961703958691911</v>
      </c>
      <c r="J22" s="17"/>
    </row>
    <row r="23" spans="1:10" x14ac:dyDescent="0.3">
      <c r="A23" s="4" t="s">
        <v>30</v>
      </c>
      <c r="B23" s="5">
        <v>136.09</v>
      </c>
      <c r="C23" s="6">
        <v>5014</v>
      </c>
      <c r="D23" s="7">
        <v>14741</v>
      </c>
      <c r="E23" s="7">
        <v>12497</v>
      </c>
      <c r="F23" s="7">
        <v>9246</v>
      </c>
      <c r="G23" s="8">
        <f t="shared" si="0"/>
        <v>14.741</v>
      </c>
      <c r="H23" s="8">
        <f t="shared" si="1"/>
        <v>12.497</v>
      </c>
      <c r="I23" s="9">
        <f t="shared" si="2"/>
        <v>1.5943110534285097</v>
      </c>
      <c r="J23" s="10"/>
    </row>
    <row r="24" spans="1:10" x14ac:dyDescent="0.3">
      <c r="A24" s="11" t="s">
        <v>31</v>
      </c>
      <c r="B24" s="12">
        <v>94.07</v>
      </c>
      <c r="C24" s="13">
        <v>4113</v>
      </c>
      <c r="D24" s="14">
        <v>14592</v>
      </c>
      <c r="E24" s="14">
        <v>12552</v>
      </c>
      <c r="F24" s="14">
        <v>10302</v>
      </c>
      <c r="G24" s="15">
        <f t="shared" si="0"/>
        <v>14.592000000000001</v>
      </c>
      <c r="H24" s="15">
        <f t="shared" si="1"/>
        <v>12.552</v>
      </c>
      <c r="I24" s="16">
        <f t="shared" si="2"/>
        <v>1.4164239953407105</v>
      </c>
      <c r="J24" s="17"/>
    </row>
    <row r="25" spans="1:10" x14ac:dyDescent="0.3">
      <c r="A25" s="4" t="s">
        <v>32</v>
      </c>
      <c r="B25" s="5">
        <v>126.64</v>
      </c>
      <c r="C25" s="6">
        <v>5111</v>
      </c>
      <c r="D25" s="7">
        <v>14132</v>
      </c>
      <c r="E25" s="7">
        <v>11467</v>
      </c>
      <c r="F25" s="7">
        <v>10088</v>
      </c>
      <c r="G25" s="8">
        <f t="shared" si="0"/>
        <v>14.132</v>
      </c>
      <c r="H25" s="8">
        <f t="shared" si="1"/>
        <v>11.467000000000001</v>
      </c>
      <c r="I25" s="9">
        <f t="shared" si="2"/>
        <v>1.4008723235527358</v>
      </c>
      <c r="J25" s="10"/>
    </row>
    <row r="26" spans="1:10" x14ac:dyDescent="0.3">
      <c r="A26" s="11" t="s">
        <v>33</v>
      </c>
      <c r="B26" s="12">
        <v>69.05</v>
      </c>
      <c r="C26" s="13">
        <v>3569</v>
      </c>
      <c r="D26" s="14">
        <v>13312</v>
      </c>
      <c r="E26" s="14">
        <v>11999</v>
      </c>
      <c r="F26" s="14">
        <v>5170</v>
      </c>
      <c r="G26" s="15">
        <f t="shared" si="0"/>
        <v>13.311999999999999</v>
      </c>
      <c r="H26" s="15">
        <f t="shared" si="1"/>
        <v>11.999000000000001</v>
      </c>
      <c r="I26" s="16">
        <f t="shared" si="2"/>
        <v>2.5748549323017409</v>
      </c>
      <c r="J26" s="17"/>
    </row>
    <row r="27" spans="1:10" x14ac:dyDescent="0.3">
      <c r="A27" s="4" t="s">
        <v>34</v>
      </c>
      <c r="B27" s="5">
        <v>176.39</v>
      </c>
      <c r="C27" s="6">
        <v>5505</v>
      </c>
      <c r="D27" s="7">
        <v>13243</v>
      </c>
      <c r="E27" s="7">
        <v>11075</v>
      </c>
      <c r="F27" s="7">
        <v>8188</v>
      </c>
      <c r="G27" s="8">
        <f t="shared" si="0"/>
        <v>13.243</v>
      </c>
      <c r="H27" s="8">
        <f t="shared" si="1"/>
        <v>11.074999999999999</v>
      </c>
      <c r="I27" s="9">
        <f t="shared" si="2"/>
        <v>1.6173668783585735</v>
      </c>
      <c r="J27" s="10"/>
    </row>
    <row r="28" spans="1:10" x14ac:dyDescent="0.3">
      <c r="A28" s="11" t="s">
        <v>35</v>
      </c>
      <c r="B28" s="12">
        <v>80.05</v>
      </c>
      <c r="C28" s="13">
        <v>4985</v>
      </c>
      <c r="D28" s="14">
        <v>13157</v>
      </c>
      <c r="E28" s="14">
        <v>9425</v>
      </c>
      <c r="F28" s="14">
        <v>5847</v>
      </c>
      <c r="G28" s="15">
        <f t="shared" si="0"/>
        <v>13.157</v>
      </c>
      <c r="H28" s="15">
        <f t="shared" si="1"/>
        <v>9.4250000000000007</v>
      </c>
      <c r="I28" s="16">
        <f t="shared" si="2"/>
        <v>2.2502137848469301</v>
      </c>
      <c r="J28" s="17"/>
    </row>
    <row r="29" spans="1:10" x14ac:dyDescent="0.3">
      <c r="A29" s="4" t="s">
        <v>36</v>
      </c>
      <c r="B29" s="5">
        <v>89.23</v>
      </c>
      <c r="C29" s="6">
        <v>4478</v>
      </c>
      <c r="D29" s="7">
        <v>13155</v>
      </c>
      <c r="E29" s="7">
        <v>10863</v>
      </c>
      <c r="F29" s="7">
        <v>9491</v>
      </c>
      <c r="G29" s="8">
        <f t="shared" si="0"/>
        <v>13.154999999999999</v>
      </c>
      <c r="H29" s="8">
        <f t="shared" si="1"/>
        <v>10.863</v>
      </c>
      <c r="I29" s="9">
        <f t="shared" si="2"/>
        <v>1.3860499420503636</v>
      </c>
      <c r="J29" s="10"/>
    </row>
    <row r="30" spans="1:10" x14ac:dyDescent="0.3">
      <c r="A30" s="11" t="s">
        <v>37</v>
      </c>
      <c r="B30" s="12">
        <v>37.01</v>
      </c>
      <c r="C30" s="13">
        <v>2635</v>
      </c>
      <c r="D30" s="14">
        <v>13077</v>
      </c>
      <c r="E30" s="14">
        <v>12413</v>
      </c>
      <c r="F30" s="14">
        <v>8660</v>
      </c>
      <c r="G30" s="15">
        <f t="shared" si="0"/>
        <v>13.077</v>
      </c>
      <c r="H30" s="15">
        <f t="shared" si="1"/>
        <v>12.413</v>
      </c>
      <c r="I30" s="16">
        <f t="shared" si="2"/>
        <v>1.5100461893764434</v>
      </c>
      <c r="J30" s="17"/>
    </row>
    <row r="31" spans="1:10" x14ac:dyDescent="0.3">
      <c r="A31" s="4" t="s">
        <v>38</v>
      </c>
      <c r="B31" s="5">
        <v>153.22999999999999</v>
      </c>
      <c r="C31" s="6">
        <v>5829</v>
      </c>
      <c r="D31" s="7">
        <v>12951</v>
      </c>
      <c r="E31" s="7">
        <v>10863</v>
      </c>
      <c r="F31" s="7">
        <v>9272</v>
      </c>
      <c r="G31" s="8">
        <f t="shared" si="0"/>
        <v>12.951000000000001</v>
      </c>
      <c r="H31" s="8">
        <f t="shared" si="1"/>
        <v>10.863</v>
      </c>
      <c r="I31" s="9">
        <f t="shared" si="2"/>
        <v>1.3967860224331321</v>
      </c>
      <c r="J31" s="10"/>
    </row>
    <row r="32" spans="1:10" x14ac:dyDescent="0.3">
      <c r="A32" s="11" t="s">
        <v>39</v>
      </c>
      <c r="B32" s="12">
        <v>136.11000000000001</v>
      </c>
      <c r="C32" s="13">
        <v>5358</v>
      </c>
      <c r="D32" s="14">
        <v>12657</v>
      </c>
      <c r="E32" s="14">
        <v>10883</v>
      </c>
      <c r="F32" s="14">
        <v>5516</v>
      </c>
      <c r="G32" s="15">
        <f t="shared" si="0"/>
        <v>12.657</v>
      </c>
      <c r="H32" s="15">
        <f t="shared" si="1"/>
        <v>10.882999999999999</v>
      </c>
      <c r="I32" s="16">
        <f t="shared" si="2"/>
        <v>2.2945975344452503</v>
      </c>
      <c r="J32" s="17"/>
    </row>
    <row r="33" spans="1:10" x14ac:dyDescent="0.3">
      <c r="A33" s="4" t="s">
        <v>40</v>
      </c>
      <c r="B33" s="5">
        <v>64.98</v>
      </c>
      <c r="C33" s="6">
        <v>4902</v>
      </c>
      <c r="D33" s="7">
        <v>12657</v>
      </c>
      <c r="E33" s="7">
        <v>12036</v>
      </c>
      <c r="F33" s="7">
        <v>7606</v>
      </c>
      <c r="G33" s="8">
        <f t="shared" si="0"/>
        <v>12.657</v>
      </c>
      <c r="H33" s="8">
        <f t="shared" si="1"/>
        <v>12.036</v>
      </c>
      <c r="I33" s="9">
        <f t="shared" si="2"/>
        <v>1.6640809886931369</v>
      </c>
      <c r="J33" s="10"/>
    </row>
    <row r="34" spans="1:10" x14ac:dyDescent="0.3">
      <c r="A34" s="11" t="s">
        <v>41</v>
      </c>
      <c r="B34" s="12">
        <v>50.57</v>
      </c>
      <c r="C34" s="13">
        <v>3913</v>
      </c>
      <c r="D34" s="14">
        <v>12625</v>
      </c>
      <c r="E34" s="14">
        <v>11452</v>
      </c>
      <c r="F34" s="14">
        <v>5528</v>
      </c>
      <c r="G34" s="15">
        <f t="shared" si="0"/>
        <v>12.625</v>
      </c>
      <c r="H34" s="15">
        <f t="shared" si="1"/>
        <v>11.452</v>
      </c>
      <c r="I34" s="16">
        <f t="shared" si="2"/>
        <v>2.2838277858176554</v>
      </c>
      <c r="J34" s="17"/>
    </row>
    <row r="35" spans="1:10" x14ac:dyDescent="0.3">
      <c r="A35" s="4" t="s">
        <v>42</v>
      </c>
      <c r="B35" s="5">
        <v>113.15</v>
      </c>
      <c r="C35" s="6">
        <v>4286</v>
      </c>
      <c r="D35" s="7">
        <v>12468</v>
      </c>
      <c r="E35" s="7">
        <v>11275</v>
      </c>
      <c r="F35" s="7">
        <v>7671</v>
      </c>
      <c r="G35" s="8">
        <f t="shared" si="0"/>
        <v>12.468</v>
      </c>
      <c r="H35" s="8">
        <f t="shared" si="1"/>
        <v>11.275</v>
      </c>
      <c r="I35" s="9">
        <f t="shared" si="2"/>
        <v>1.6253421978881502</v>
      </c>
      <c r="J35" s="10"/>
    </row>
    <row r="36" spans="1:10" x14ac:dyDescent="0.3">
      <c r="A36" s="11" t="s">
        <v>43</v>
      </c>
      <c r="B36" s="12">
        <v>194.16</v>
      </c>
      <c r="C36" s="13">
        <v>6605</v>
      </c>
      <c r="D36" s="14">
        <v>12285</v>
      </c>
      <c r="E36" s="14">
        <v>9606</v>
      </c>
      <c r="F36" s="14">
        <v>6121</v>
      </c>
      <c r="G36" s="15">
        <f t="shared" si="0"/>
        <v>12.285</v>
      </c>
      <c r="H36" s="15">
        <f t="shared" si="1"/>
        <v>9.6059999999999999</v>
      </c>
      <c r="I36" s="16">
        <f t="shared" si="2"/>
        <v>2.0070249959157</v>
      </c>
      <c r="J36" s="17"/>
    </row>
    <row r="37" spans="1:10" x14ac:dyDescent="0.3">
      <c r="A37" s="4" t="s">
        <v>44</v>
      </c>
      <c r="B37" s="5">
        <v>53.73</v>
      </c>
      <c r="C37" s="6">
        <v>3498</v>
      </c>
      <c r="D37" s="7">
        <v>12252</v>
      </c>
      <c r="E37" s="7">
        <v>10702</v>
      </c>
      <c r="F37" s="7">
        <v>8569</v>
      </c>
      <c r="G37" s="8">
        <f t="shared" ref="G37:G68" si="3">D37/1000</f>
        <v>12.252000000000001</v>
      </c>
      <c r="H37" s="8">
        <f t="shared" ref="H37:H68" si="4">E37/1000</f>
        <v>10.702</v>
      </c>
      <c r="I37" s="9">
        <f t="shared" ref="I37:I68" si="5">IFERROR(D37/F37,"")</f>
        <v>1.4298051114482437</v>
      </c>
      <c r="J37" s="10"/>
    </row>
    <row r="38" spans="1:10" x14ac:dyDescent="0.3">
      <c r="A38" s="11" t="s">
        <v>45</v>
      </c>
      <c r="B38" s="12">
        <v>60.78</v>
      </c>
      <c r="C38" s="13">
        <v>4221</v>
      </c>
      <c r="D38" s="14">
        <v>12012</v>
      </c>
      <c r="E38" s="14">
        <v>9901</v>
      </c>
      <c r="F38" s="14">
        <v>4970</v>
      </c>
      <c r="G38" s="15">
        <f t="shared" si="3"/>
        <v>12.012</v>
      </c>
      <c r="H38" s="15">
        <f t="shared" si="4"/>
        <v>9.9009999999999998</v>
      </c>
      <c r="I38" s="16">
        <f t="shared" si="5"/>
        <v>2.4169014084507041</v>
      </c>
      <c r="J38" s="17"/>
    </row>
    <row r="39" spans="1:10" x14ac:dyDescent="0.3">
      <c r="A39" s="4" t="s">
        <v>46</v>
      </c>
      <c r="B39" s="5">
        <v>57.95</v>
      </c>
      <c r="C39" s="6">
        <v>4422</v>
      </c>
      <c r="D39" s="7">
        <v>11524</v>
      </c>
      <c r="E39" s="7">
        <v>10425</v>
      </c>
      <c r="F39" s="7">
        <v>4986</v>
      </c>
      <c r="G39" s="8">
        <f t="shared" si="3"/>
        <v>11.523999999999999</v>
      </c>
      <c r="H39" s="8">
        <f t="shared" si="4"/>
        <v>10.425000000000001</v>
      </c>
      <c r="I39" s="9">
        <f t="shared" si="5"/>
        <v>2.3112715603690335</v>
      </c>
      <c r="J39" s="10"/>
    </row>
    <row r="40" spans="1:10" x14ac:dyDescent="0.3">
      <c r="A40" s="11" t="s">
        <v>47</v>
      </c>
      <c r="B40" s="12">
        <v>101.05</v>
      </c>
      <c r="C40" s="13">
        <v>4269</v>
      </c>
      <c r="D40" s="14">
        <v>11437</v>
      </c>
      <c r="E40" s="14">
        <v>8970</v>
      </c>
      <c r="F40" s="14">
        <v>6867</v>
      </c>
      <c r="G40" s="15">
        <f t="shared" si="3"/>
        <v>11.436999999999999</v>
      </c>
      <c r="H40" s="15">
        <f t="shared" si="4"/>
        <v>8.9700000000000006</v>
      </c>
      <c r="I40" s="16">
        <f t="shared" si="5"/>
        <v>1.6655016746759865</v>
      </c>
      <c r="J40" s="17"/>
    </row>
    <row r="41" spans="1:10" x14ac:dyDescent="0.3">
      <c r="A41" s="4" t="s">
        <v>48</v>
      </c>
      <c r="B41" s="5">
        <v>78.33</v>
      </c>
      <c r="C41" s="6">
        <v>5069</v>
      </c>
      <c r="D41" s="7">
        <v>11190</v>
      </c>
      <c r="E41" s="7">
        <v>10459</v>
      </c>
      <c r="F41" s="7">
        <v>7908</v>
      </c>
      <c r="G41" s="8">
        <f t="shared" si="3"/>
        <v>11.19</v>
      </c>
      <c r="H41" s="8">
        <f t="shared" si="4"/>
        <v>10.459</v>
      </c>
      <c r="I41" s="9">
        <f t="shared" si="5"/>
        <v>1.4150227617602429</v>
      </c>
      <c r="J41" s="10"/>
    </row>
    <row r="42" spans="1:10" x14ac:dyDescent="0.3">
      <c r="A42" s="11" t="s">
        <v>49</v>
      </c>
      <c r="B42" s="12">
        <v>80.599999999999994</v>
      </c>
      <c r="C42" s="13">
        <v>5657</v>
      </c>
      <c r="D42" s="14">
        <v>11190</v>
      </c>
      <c r="E42" s="14">
        <v>10487</v>
      </c>
      <c r="F42" s="14">
        <v>8590</v>
      </c>
      <c r="G42" s="15">
        <f t="shared" si="3"/>
        <v>11.19</v>
      </c>
      <c r="H42" s="15">
        <f t="shared" si="4"/>
        <v>10.487</v>
      </c>
      <c r="I42" s="16">
        <f t="shared" si="5"/>
        <v>1.3026775320139696</v>
      </c>
      <c r="J42" s="17"/>
    </row>
    <row r="43" spans="1:10" x14ac:dyDescent="0.3">
      <c r="A43" s="4" t="s">
        <v>50</v>
      </c>
      <c r="B43" s="5">
        <v>246.77</v>
      </c>
      <c r="C43" s="6">
        <v>6525</v>
      </c>
      <c r="D43" s="7">
        <v>10861</v>
      </c>
      <c r="E43" s="7">
        <v>7490</v>
      </c>
      <c r="F43" s="7">
        <v>5164</v>
      </c>
      <c r="G43" s="8">
        <f t="shared" si="3"/>
        <v>10.861000000000001</v>
      </c>
      <c r="H43" s="8">
        <f t="shared" si="4"/>
        <v>7.49</v>
      </c>
      <c r="I43" s="9">
        <f t="shared" si="5"/>
        <v>2.1032145623547636</v>
      </c>
      <c r="J43" s="10"/>
    </row>
    <row r="44" spans="1:10" x14ac:dyDescent="0.3">
      <c r="A44" s="11" t="s">
        <v>51</v>
      </c>
      <c r="B44" s="12">
        <v>0.21</v>
      </c>
      <c r="C44" s="13">
        <v>206</v>
      </c>
      <c r="D44" s="14">
        <v>10626</v>
      </c>
      <c r="E44" s="14">
        <v>10549</v>
      </c>
      <c r="F44" s="14">
        <v>9173</v>
      </c>
      <c r="G44" s="15">
        <f t="shared" si="3"/>
        <v>10.625999999999999</v>
      </c>
      <c r="H44" s="15">
        <f t="shared" si="4"/>
        <v>10.548999999999999</v>
      </c>
      <c r="I44" s="16">
        <f t="shared" si="5"/>
        <v>1.1583996511501145</v>
      </c>
      <c r="J44" s="17"/>
    </row>
    <row r="45" spans="1:10" x14ac:dyDescent="0.3">
      <c r="A45" s="4" t="s">
        <v>52</v>
      </c>
      <c r="B45" s="5">
        <v>96.41</v>
      </c>
      <c r="C45" s="6">
        <v>4554</v>
      </c>
      <c r="D45" s="7">
        <v>10544</v>
      </c>
      <c r="E45" s="7">
        <v>8424</v>
      </c>
      <c r="F45" s="7">
        <v>6968</v>
      </c>
      <c r="G45" s="8">
        <f t="shared" si="3"/>
        <v>10.544</v>
      </c>
      <c r="H45" s="8">
        <f t="shared" si="4"/>
        <v>8.4239999999999995</v>
      </c>
      <c r="I45" s="9">
        <f t="shared" si="5"/>
        <v>1.5132032146957519</v>
      </c>
      <c r="J45" s="10"/>
    </row>
    <row r="46" spans="1:10" x14ac:dyDescent="0.3">
      <c r="A46" s="11" t="s">
        <v>53</v>
      </c>
      <c r="B46" s="12">
        <v>86.21</v>
      </c>
      <c r="C46" s="13">
        <v>5979</v>
      </c>
      <c r="D46" s="14">
        <v>10525</v>
      </c>
      <c r="E46" s="14">
        <v>7884</v>
      </c>
      <c r="F46" s="14">
        <v>6802</v>
      </c>
      <c r="G46" s="15">
        <f t="shared" si="3"/>
        <v>10.525</v>
      </c>
      <c r="H46" s="15">
        <f t="shared" si="4"/>
        <v>7.8840000000000003</v>
      </c>
      <c r="I46" s="16">
        <f t="shared" si="5"/>
        <v>1.5473390179359012</v>
      </c>
      <c r="J46" s="17"/>
    </row>
    <row r="47" spans="1:10" x14ac:dyDescent="0.3">
      <c r="A47" s="4" t="s">
        <v>54</v>
      </c>
      <c r="B47" s="5">
        <v>132.13</v>
      </c>
      <c r="C47" s="6">
        <v>5473</v>
      </c>
      <c r="D47" s="7">
        <v>10471</v>
      </c>
      <c r="E47" s="7">
        <v>6238</v>
      </c>
      <c r="F47" s="7">
        <v>3937</v>
      </c>
      <c r="G47" s="8">
        <f t="shared" si="3"/>
        <v>10.471</v>
      </c>
      <c r="H47" s="8">
        <f t="shared" si="4"/>
        <v>6.2380000000000004</v>
      </c>
      <c r="I47" s="9">
        <f t="shared" si="5"/>
        <v>2.6596393192786385</v>
      </c>
      <c r="J47" s="10"/>
    </row>
    <row r="48" spans="1:10" x14ac:dyDescent="0.3">
      <c r="A48" s="11" t="s">
        <v>55</v>
      </c>
      <c r="B48" s="12">
        <v>37.21</v>
      </c>
      <c r="C48" s="13">
        <v>2593</v>
      </c>
      <c r="D48" s="14">
        <v>10465</v>
      </c>
      <c r="E48" s="14">
        <v>10465</v>
      </c>
      <c r="F48" s="14">
        <v>7608</v>
      </c>
      <c r="G48" s="15">
        <f t="shared" si="3"/>
        <v>10.465</v>
      </c>
      <c r="H48" s="15">
        <f t="shared" si="4"/>
        <v>10.465</v>
      </c>
      <c r="I48" s="16">
        <f t="shared" si="5"/>
        <v>1.3755257623554153</v>
      </c>
      <c r="J48" s="17"/>
    </row>
    <row r="49" spans="1:10" x14ac:dyDescent="0.3">
      <c r="A49" s="4" t="s">
        <v>56</v>
      </c>
      <c r="B49" s="5">
        <v>74.59</v>
      </c>
      <c r="C49" s="6">
        <v>3596</v>
      </c>
      <c r="D49" s="7">
        <v>10395</v>
      </c>
      <c r="E49" s="7">
        <v>9674</v>
      </c>
      <c r="F49" s="7">
        <v>7374</v>
      </c>
      <c r="G49" s="8">
        <f t="shared" si="3"/>
        <v>10.395</v>
      </c>
      <c r="H49" s="8">
        <f t="shared" si="4"/>
        <v>9.6739999999999995</v>
      </c>
      <c r="I49" s="9">
        <f t="shared" si="5"/>
        <v>1.4096826688364523</v>
      </c>
      <c r="J49" s="10"/>
    </row>
    <row r="50" spans="1:10" x14ac:dyDescent="0.3">
      <c r="A50" s="11" t="s">
        <v>57</v>
      </c>
      <c r="B50" s="12">
        <v>90.05</v>
      </c>
      <c r="C50" s="13">
        <v>4519</v>
      </c>
      <c r="D50" s="14">
        <v>10257</v>
      </c>
      <c r="E50" s="14">
        <v>7792</v>
      </c>
      <c r="F50" s="14">
        <v>4488</v>
      </c>
      <c r="G50" s="15">
        <f t="shared" si="3"/>
        <v>10.257</v>
      </c>
      <c r="H50" s="15">
        <f t="shared" si="4"/>
        <v>7.7919999999999998</v>
      </c>
      <c r="I50" s="16">
        <f t="shared" si="5"/>
        <v>2.2854278074866312</v>
      </c>
      <c r="J50" s="17"/>
    </row>
    <row r="51" spans="1:10" x14ac:dyDescent="0.3">
      <c r="A51" s="4" t="s">
        <v>58</v>
      </c>
      <c r="B51" s="5">
        <v>109.38</v>
      </c>
      <c r="C51" s="6">
        <v>5079</v>
      </c>
      <c r="D51" s="7">
        <v>10054</v>
      </c>
      <c r="E51" s="7">
        <v>7513</v>
      </c>
      <c r="F51" s="7">
        <v>5761</v>
      </c>
      <c r="G51" s="8">
        <f t="shared" si="3"/>
        <v>10.054</v>
      </c>
      <c r="H51" s="8">
        <f t="shared" si="4"/>
        <v>7.5129999999999999</v>
      </c>
      <c r="I51" s="9">
        <f t="shared" si="5"/>
        <v>1.745183127929179</v>
      </c>
      <c r="J51" s="10"/>
    </row>
    <row r="52" spans="1:10" x14ac:dyDescent="0.3">
      <c r="A52" s="11" t="s">
        <v>59</v>
      </c>
      <c r="B52" s="12">
        <v>89.46</v>
      </c>
      <c r="C52" s="13">
        <v>4696</v>
      </c>
      <c r="D52" s="14">
        <v>10005</v>
      </c>
      <c r="E52" s="14">
        <v>5779</v>
      </c>
      <c r="F52" s="14">
        <v>4316</v>
      </c>
      <c r="G52" s="15">
        <f t="shared" si="3"/>
        <v>10.005000000000001</v>
      </c>
      <c r="H52" s="15">
        <f t="shared" si="4"/>
        <v>5.7789999999999999</v>
      </c>
      <c r="I52" s="16">
        <f t="shared" si="5"/>
        <v>2.318118628359592</v>
      </c>
      <c r="J52" s="17"/>
    </row>
    <row r="53" spans="1:10" x14ac:dyDescent="0.3">
      <c r="A53" s="4" t="s">
        <v>60</v>
      </c>
      <c r="B53" s="5">
        <v>79.150000000000006</v>
      </c>
      <c r="C53" s="6">
        <v>4180</v>
      </c>
      <c r="D53" s="7">
        <v>9945</v>
      </c>
      <c r="E53" s="7">
        <v>7774</v>
      </c>
      <c r="F53" s="7">
        <v>4408</v>
      </c>
      <c r="G53" s="8">
        <f t="shared" si="3"/>
        <v>9.9450000000000003</v>
      </c>
      <c r="H53" s="8">
        <f t="shared" si="4"/>
        <v>7.774</v>
      </c>
      <c r="I53" s="9">
        <f t="shared" si="5"/>
        <v>2.2561252268602541</v>
      </c>
      <c r="J53" s="10"/>
    </row>
    <row r="54" spans="1:10" x14ac:dyDescent="0.3">
      <c r="A54" s="11" t="s">
        <v>61</v>
      </c>
      <c r="B54" s="12">
        <v>94.77</v>
      </c>
      <c r="C54" s="13">
        <v>4462</v>
      </c>
      <c r="D54" s="14">
        <v>9774</v>
      </c>
      <c r="E54" s="14">
        <v>7513</v>
      </c>
      <c r="F54" s="14">
        <v>5843</v>
      </c>
      <c r="G54" s="15">
        <f t="shared" si="3"/>
        <v>9.7739999999999991</v>
      </c>
      <c r="H54" s="15">
        <f t="shared" si="4"/>
        <v>7.5129999999999999</v>
      </c>
      <c r="I54" s="16">
        <f t="shared" si="5"/>
        <v>1.6727708368988534</v>
      </c>
      <c r="J54" s="17"/>
    </row>
    <row r="55" spans="1:10" x14ac:dyDescent="0.3">
      <c r="A55" s="4" t="s">
        <v>62</v>
      </c>
      <c r="B55" s="5">
        <v>104.78</v>
      </c>
      <c r="C55" s="6">
        <v>4041</v>
      </c>
      <c r="D55" s="7">
        <v>9745</v>
      </c>
      <c r="E55" s="7">
        <v>9391</v>
      </c>
      <c r="F55" s="7">
        <v>3978</v>
      </c>
      <c r="G55" s="8">
        <f t="shared" si="3"/>
        <v>9.7449999999999992</v>
      </c>
      <c r="H55" s="8">
        <f t="shared" si="4"/>
        <v>9.391</v>
      </c>
      <c r="I55" s="9">
        <f t="shared" si="5"/>
        <v>2.449723479135244</v>
      </c>
      <c r="J55" s="10"/>
    </row>
    <row r="56" spans="1:10" x14ac:dyDescent="0.3">
      <c r="A56" s="11" t="s">
        <v>63</v>
      </c>
      <c r="B56" s="12">
        <v>45.19</v>
      </c>
      <c r="C56" s="13">
        <v>2949</v>
      </c>
      <c r="D56" s="14">
        <v>9731</v>
      </c>
      <c r="E56" s="14">
        <v>8816</v>
      </c>
      <c r="F56" s="14">
        <v>6598</v>
      </c>
      <c r="G56" s="15">
        <f t="shared" si="3"/>
        <v>9.7309999999999999</v>
      </c>
      <c r="H56" s="15">
        <f t="shared" si="4"/>
        <v>8.8160000000000007</v>
      </c>
      <c r="I56" s="16">
        <f t="shared" si="5"/>
        <v>1.4748408608669294</v>
      </c>
      <c r="J56" s="17"/>
    </row>
    <row r="57" spans="1:10" x14ac:dyDescent="0.3">
      <c r="A57" s="4" t="s">
        <v>64</v>
      </c>
      <c r="B57" s="5">
        <v>176.33</v>
      </c>
      <c r="C57" s="6">
        <v>5651</v>
      </c>
      <c r="D57" s="7">
        <v>9318</v>
      </c>
      <c r="E57" s="7">
        <v>6402</v>
      </c>
      <c r="F57" s="7">
        <v>5142</v>
      </c>
      <c r="G57" s="8">
        <f t="shared" si="3"/>
        <v>9.3179999999999996</v>
      </c>
      <c r="H57" s="8">
        <f t="shared" si="4"/>
        <v>6.4020000000000001</v>
      </c>
      <c r="I57" s="9">
        <f t="shared" si="5"/>
        <v>1.8121353558926487</v>
      </c>
      <c r="J57" s="10"/>
    </row>
    <row r="58" spans="1:10" x14ac:dyDescent="0.3">
      <c r="A58" s="11" t="s">
        <v>65</v>
      </c>
      <c r="B58" s="12">
        <v>104.14</v>
      </c>
      <c r="C58" s="13">
        <v>4954</v>
      </c>
      <c r="D58" s="14">
        <v>9309</v>
      </c>
      <c r="E58" s="14">
        <v>7869</v>
      </c>
      <c r="F58" s="14">
        <v>4772</v>
      </c>
      <c r="G58" s="15">
        <f t="shared" si="3"/>
        <v>9.3089999999999993</v>
      </c>
      <c r="H58" s="15">
        <f t="shared" si="4"/>
        <v>7.8689999999999998</v>
      </c>
      <c r="I58" s="16">
        <f t="shared" si="5"/>
        <v>1.9507544006705784</v>
      </c>
      <c r="J58" s="17"/>
    </row>
    <row r="59" spans="1:10" x14ac:dyDescent="0.3">
      <c r="A59" s="4" t="s">
        <v>66</v>
      </c>
      <c r="B59" s="5">
        <v>32.04</v>
      </c>
      <c r="C59" s="6">
        <v>2762</v>
      </c>
      <c r="D59" s="7">
        <v>9181</v>
      </c>
      <c r="E59" s="7">
        <v>7793</v>
      </c>
      <c r="F59" s="7">
        <v>3935</v>
      </c>
      <c r="G59" s="8">
        <f t="shared" si="3"/>
        <v>9.1809999999999992</v>
      </c>
      <c r="H59" s="8">
        <f t="shared" si="4"/>
        <v>7.7930000000000001</v>
      </c>
      <c r="I59" s="9">
        <f t="shared" si="5"/>
        <v>2.3331639135959339</v>
      </c>
      <c r="J59" s="10"/>
    </row>
    <row r="60" spans="1:10" x14ac:dyDescent="0.3">
      <c r="A60" s="11" t="s">
        <v>67</v>
      </c>
      <c r="B60" s="12">
        <v>209.08</v>
      </c>
      <c r="C60" s="13">
        <v>5759</v>
      </c>
      <c r="D60" s="14">
        <v>9076</v>
      </c>
      <c r="E60" s="14">
        <v>6808</v>
      </c>
      <c r="F60" s="14">
        <v>3630</v>
      </c>
      <c r="G60" s="15">
        <f t="shared" si="3"/>
        <v>9.0760000000000005</v>
      </c>
      <c r="H60" s="15">
        <f t="shared" si="4"/>
        <v>6.8079999999999998</v>
      </c>
      <c r="I60" s="16">
        <f t="shared" si="5"/>
        <v>2.5002754820936639</v>
      </c>
      <c r="J60" s="17"/>
    </row>
    <row r="61" spans="1:10" x14ac:dyDescent="0.3">
      <c r="A61" s="4" t="s">
        <v>68</v>
      </c>
      <c r="B61" s="5">
        <v>74.459999999999994</v>
      </c>
      <c r="C61" s="6">
        <v>4140</v>
      </c>
      <c r="D61" s="7">
        <v>8866</v>
      </c>
      <c r="E61" s="7">
        <v>6857</v>
      </c>
      <c r="F61" s="7">
        <v>5525</v>
      </c>
      <c r="G61" s="8">
        <f t="shared" si="3"/>
        <v>8.8659999999999997</v>
      </c>
      <c r="H61" s="8">
        <f t="shared" si="4"/>
        <v>6.8570000000000002</v>
      </c>
      <c r="I61" s="9">
        <f t="shared" si="5"/>
        <v>1.6047058823529412</v>
      </c>
      <c r="J61" s="10"/>
    </row>
    <row r="62" spans="1:10" x14ac:dyDescent="0.3">
      <c r="A62" s="11" t="s">
        <v>69</v>
      </c>
      <c r="B62" s="12">
        <v>48.41</v>
      </c>
      <c r="C62" s="13">
        <v>2741</v>
      </c>
      <c r="D62" s="14">
        <v>8847</v>
      </c>
      <c r="E62" s="14">
        <v>7257</v>
      </c>
      <c r="F62" s="14">
        <v>6276</v>
      </c>
      <c r="G62" s="15">
        <f t="shared" si="3"/>
        <v>8.8469999999999995</v>
      </c>
      <c r="H62" s="15">
        <f t="shared" si="4"/>
        <v>7.2569999999999997</v>
      </c>
      <c r="I62" s="16">
        <f t="shared" si="5"/>
        <v>1.4096558317399617</v>
      </c>
      <c r="J62" s="17"/>
    </row>
    <row r="63" spans="1:10" x14ac:dyDescent="0.3">
      <c r="A63" s="4" t="s">
        <v>70</v>
      </c>
      <c r="B63" s="5">
        <v>147.09</v>
      </c>
      <c r="C63" s="6">
        <v>6062</v>
      </c>
      <c r="D63" s="7">
        <v>8821</v>
      </c>
      <c r="E63" s="7">
        <v>6477</v>
      </c>
      <c r="F63" s="7">
        <v>3959</v>
      </c>
      <c r="G63" s="8">
        <f t="shared" si="3"/>
        <v>8.8209999999999997</v>
      </c>
      <c r="H63" s="8">
        <f t="shared" si="4"/>
        <v>6.4770000000000003</v>
      </c>
      <c r="I63" s="9">
        <f t="shared" si="5"/>
        <v>2.2280879009850971</v>
      </c>
      <c r="J63" s="10"/>
    </row>
    <row r="64" spans="1:10" x14ac:dyDescent="0.3">
      <c r="A64" s="11" t="s">
        <v>71</v>
      </c>
      <c r="B64" s="12">
        <v>91.39</v>
      </c>
      <c r="C64" s="13">
        <v>4209</v>
      </c>
      <c r="D64" s="14">
        <v>8802</v>
      </c>
      <c r="E64" s="14">
        <v>7485</v>
      </c>
      <c r="F64" s="14">
        <v>6096</v>
      </c>
      <c r="G64" s="15">
        <f t="shared" si="3"/>
        <v>8.8019999999999996</v>
      </c>
      <c r="H64" s="15">
        <f t="shared" si="4"/>
        <v>7.4850000000000003</v>
      </c>
      <c r="I64" s="16">
        <f t="shared" si="5"/>
        <v>1.4438976377952757</v>
      </c>
      <c r="J64" s="17"/>
    </row>
    <row r="65" spans="1:10" x14ac:dyDescent="0.3">
      <c r="A65" s="4" t="s">
        <v>72</v>
      </c>
      <c r="B65" s="5">
        <v>100.37</v>
      </c>
      <c r="C65" s="6">
        <v>4407</v>
      </c>
      <c r="D65" s="7">
        <v>8632</v>
      </c>
      <c r="E65" s="7">
        <v>5780</v>
      </c>
      <c r="F65" s="7">
        <v>2953</v>
      </c>
      <c r="G65" s="8">
        <f t="shared" si="3"/>
        <v>8.6319999999999997</v>
      </c>
      <c r="H65" s="8">
        <f t="shared" si="4"/>
        <v>5.78</v>
      </c>
      <c r="I65" s="9">
        <f t="shared" si="5"/>
        <v>2.9231290213342365</v>
      </c>
      <c r="J65" s="10"/>
    </row>
    <row r="66" spans="1:10" x14ac:dyDescent="0.3">
      <c r="A66" s="11" t="s">
        <v>73</v>
      </c>
      <c r="B66" s="12">
        <v>93.05</v>
      </c>
      <c r="C66" s="13">
        <v>3926</v>
      </c>
      <c r="D66" s="14">
        <v>8548</v>
      </c>
      <c r="E66" s="14">
        <v>5328</v>
      </c>
      <c r="F66" s="14">
        <v>3198</v>
      </c>
      <c r="G66" s="15">
        <f t="shared" si="3"/>
        <v>8.548</v>
      </c>
      <c r="H66" s="15">
        <f t="shared" si="4"/>
        <v>5.3280000000000003</v>
      </c>
      <c r="I66" s="16">
        <f t="shared" si="5"/>
        <v>2.6729205753595999</v>
      </c>
      <c r="J66" s="17"/>
    </row>
    <row r="67" spans="1:10" x14ac:dyDescent="0.3">
      <c r="A67" s="4" t="s">
        <v>74</v>
      </c>
      <c r="B67" s="5">
        <v>58.54</v>
      </c>
      <c r="C67" s="6">
        <v>3224</v>
      </c>
      <c r="D67" s="7">
        <v>8354</v>
      </c>
      <c r="E67" s="7">
        <v>6010</v>
      </c>
      <c r="F67" s="7">
        <v>4831</v>
      </c>
      <c r="G67" s="8">
        <f t="shared" si="3"/>
        <v>8.3539999999999992</v>
      </c>
      <c r="H67" s="8">
        <f t="shared" si="4"/>
        <v>6.01</v>
      </c>
      <c r="I67" s="9">
        <f t="shared" si="5"/>
        <v>1.7292486027737528</v>
      </c>
      <c r="J67" s="10"/>
    </row>
    <row r="68" spans="1:10" x14ac:dyDescent="0.3">
      <c r="A68" s="11" t="s">
        <v>75</v>
      </c>
      <c r="B68" s="12">
        <v>171.84</v>
      </c>
      <c r="C68" s="13">
        <v>5330</v>
      </c>
      <c r="D68" s="14">
        <v>8326</v>
      </c>
      <c r="E68" s="14">
        <v>5915</v>
      </c>
      <c r="F68" s="14">
        <v>4557</v>
      </c>
      <c r="G68" s="15">
        <f t="shared" si="3"/>
        <v>8.3260000000000005</v>
      </c>
      <c r="H68" s="15">
        <f t="shared" si="4"/>
        <v>5.915</v>
      </c>
      <c r="I68" s="16">
        <f t="shared" si="5"/>
        <v>1.8270792187842879</v>
      </c>
      <c r="J68" s="17"/>
    </row>
    <row r="69" spans="1:10" x14ac:dyDescent="0.3">
      <c r="A69" s="4" t="s">
        <v>76</v>
      </c>
      <c r="B69" s="5">
        <v>139.38</v>
      </c>
      <c r="C69" s="6">
        <v>6112</v>
      </c>
      <c r="D69" s="7">
        <v>8123</v>
      </c>
      <c r="E69" s="7">
        <v>5170</v>
      </c>
      <c r="F69" s="7">
        <v>3767</v>
      </c>
      <c r="G69" s="8">
        <f t="shared" ref="G69:G100" si="6">D69/1000</f>
        <v>8.1229999999999993</v>
      </c>
      <c r="H69" s="8">
        <f t="shared" ref="H69:H100" si="7">E69/1000</f>
        <v>5.17</v>
      </c>
      <c r="I69" s="9">
        <f t="shared" ref="I69:I100" si="8">IFERROR(D69/F69,"")</f>
        <v>2.1563578444385452</v>
      </c>
      <c r="J69" s="10"/>
    </row>
    <row r="70" spans="1:10" x14ac:dyDescent="0.3">
      <c r="A70" s="11" t="s">
        <v>77</v>
      </c>
      <c r="B70" s="12">
        <v>135.9</v>
      </c>
      <c r="C70" s="13">
        <v>5486</v>
      </c>
      <c r="D70" s="14">
        <v>7952</v>
      </c>
      <c r="E70" s="14">
        <v>4828</v>
      </c>
      <c r="F70" s="14">
        <v>3753</v>
      </c>
      <c r="G70" s="15">
        <f t="shared" si="6"/>
        <v>7.952</v>
      </c>
      <c r="H70" s="15">
        <f t="shared" si="7"/>
        <v>4.8280000000000003</v>
      </c>
      <c r="I70" s="16">
        <f t="shared" si="8"/>
        <v>2.118838262723155</v>
      </c>
      <c r="J70" s="17"/>
    </row>
    <row r="71" spans="1:10" x14ac:dyDescent="0.3">
      <c r="A71" s="4" t="s">
        <v>78</v>
      </c>
      <c r="B71" s="5">
        <v>43.93</v>
      </c>
      <c r="C71" s="6">
        <v>3465</v>
      </c>
      <c r="D71" s="7">
        <v>7768</v>
      </c>
      <c r="E71" s="7">
        <v>6074</v>
      </c>
      <c r="F71" s="7">
        <v>5178</v>
      </c>
      <c r="G71" s="8">
        <f t="shared" si="6"/>
        <v>7.7679999999999998</v>
      </c>
      <c r="H71" s="8">
        <f t="shared" si="7"/>
        <v>6.0739999999999998</v>
      </c>
      <c r="I71" s="9">
        <f t="shared" si="8"/>
        <v>1.500193124758594</v>
      </c>
      <c r="J71" s="10"/>
    </row>
    <row r="72" spans="1:10" x14ac:dyDescent="0.3">
      <c r="A72" s="11" t="s">
        <v>79</v>
      </c>
      <c r="B72" s="12">
        <v>112.41</v>
      </c>
      <c r="C72" s="13">
        <v>4665</v>
      </c>
      <c r="D72" s="14">
        <v>7666</v>
      </c>
      <c r="E72" s="14">
        <v>5328</v>
      </c>
      <c r="F72" s="14">
        <v>3318</v>
      </c>
      <c r="G72" s="15">
        <f t="shared" si="6"/>
        <v>7.6660000000000004</v>
      </c>
      <c r="H72" s="15">
        <f t="shared" si="7"/>
        <v>5.3280000000000003</v>
      </c>
      <c r="I72" s="16">
        <f t="shared" si="8"/>
        <v>2.3104279686558167</v>
      </c>
      <c r="J72" s="17"/>
    </row>
    <row r="73" spans="1:10" x14ac:dyDescent="0.3">
      <c r="A73" s="4" t="s">
        <v>80</v>
      </c>
      <c r="B73" s="5">
        <v>120.74</v>
      </c>
      <c r="C73" s="6">
        <v>4912</v>
      </c>
      <c r="D73" s="7">
        <v>7611</v>
      </c>
      <c r="E73" s="7">
        <v>5316</v>
      </c>
      <c r="F73" s="7">
        <v>3467</v>
      </c>
      <c r="G73" s="8">
        <f t="shared" si="6"/>
        <v>7.6109999999999998</v>
      </c>
      <c r="H73" s="8">
        <f t="shared" si="7"/>
        <v>5.3159999999999998</v>
      </c>
      <c r="I73" s="9">
        <f t="shared" si="8"/>
        <v>2.195269685607153</v>
      </c>
      <c r="J73" s="10"/>
    </row>
    <row r="74" spans="1:10" x14ac:dyDescent="0.3">
      <c r="A74" s="11" t="s">
        <v>81</v>
      </c>
      <c r="B74" s="12">
        <v>120.66</v>
      </c>
      <c r="C74" s="13">
        <v>4600</v>
      </c>
      <c r="D74" s="14">
        <v>7541</v>
      </c>
      <c r="E74" s="14">
        <v>6763</v>
      </c>
      <c r="F74" s="14">
        <v>5126</v>
      </c>
      <c r="G74" s="15">
        <f t="shared" si="6"/>
        <v>7.5410000000000004</v>
      </c>
      <c r="H74" s="15">
        <f t="shared" si="7"/>
        <v>6.7629999999999999</v>
      </c>
      <c r="I74" s="16">
        <f t="shared" si="8"/>
        <v>1.4711275848614904</v>
      </c>
      <c r="J74" s="17"/>
    </row>
    <row r="75" spans="1:10" x14ac:dyDescent="0.3">
      <c r="A75" s="4" t="s">
        <v>82</v>
      </c>
      <c r="B75" s="5">
        <v>110.4</v>
      </c>
      <c r="C75" s="6">
        <v>5184</v>
      </c>
      <c r="D75" s="7">
        <v>7507</v>
      </c>
      <c r="E75" s="7">
        <v>6074</v>
      </c>
      <c r="F75" s="7">
        <v>4447</v>
      </c>
      <c r="G75" s="8">
        <f t="shared" si="6"/>
        <v>7.5069999999999997</v>
      </c>
      <c r="H75" s="8">
        <f t="shared" si="7"/>
        <v>6.0739999999999998</v>
      </c>
      <c r="I75" s="9">
        <f t="shared" si="8"/>
        <v>1.6881043400044975</v>
      </c>
      <c r="J75" s="10"/>
    </row>
    <row r="76" spans="1:10" x14ac:dyDescent="0.3">
      <c r="A76" s="18" t="s">
        <v>83</v>
      </c>
      <c r="B76" s="19">
        <v>40.79</v>
      </c>
      <c r="C76" s="20">
        <v>2958</v>
      </c>
      <c r="D76" s="21">
        <v>7409</v>
      </c>
      <c r="E76" s="21">
        <v>6704</v>
      </c>
      <c r="F76" s="21">
        <v>1951</v>
      </c>
      <c r="G76" s="22">
        <f t="shared" si="6"/>
        <v>7.4089999999999998</v>
      </c>
      <c r="H76" s="22">
        <f t="shared" si="7"/>
        <v>6.7039999999999997</v>
      </c>
      <c r="I76" s="23">
        <f t="shared" si="8"/>
        <v>3.7975397232188621</v>
      </c>
      <c r="J76" s="24"/>
    </row>
    <row r="77" spans="1:10" x14ac:dyDescent="0.3">
      <c r="A77" s="18" t="s">
        <v>84</v>
      </c>
      <c r="B77" s="19">
        <v>127.02</v>
      </c>
      <c r="C77" s="20">
        <v>5903</v>
      </c>
      <c r="D77" s="21">
        <v>7228</v>
      </c>
      <c r="E77" s="21">
        <v>4597</v>
      </c>
      <c r="F77" s="21">
        <v>2368</v>
      </c>
      <c r="G77" s="22">
        <f t="shared" si="6"/>
        <v>7.2279999999999998</v>
      </c>
      <c r="H77" s="22">
        <f t="shared" si="7"/>
        <v>4.5970000000000004</v>
      </c>
      <c r="I77" s="23">
        <f t="shared" si="8"/>
        <v>3.0523648648648649</v>
      </c>
      <c r="J77" s="24"/>
    </row>
    <row r="78" spans="1:10" x14ac:dyDescent="0.3">
      <c r="A78" s="11" t="s">
        <v>85</v>
      </c>
      <c r="B78" s="12">
        <v>113.56</v>
      </c>
      <c r="C78" s="13">
        <v>4624</v>
      </c>
      <c r="D78" s="14">
        <v>7223</v>
      </c>
      <c r="E78" s="14">
        <v>4855</v>
      </c>
      <c r="F78" s="14">
        <v>3449</v>
      </c>
      <c r="G78" s="15">
        <f t="shared" si="6"/>
        <v>7.2229999999999999</v>
      </c>
      <c r="H78" s="15">
        <f t="shared" si="7"/>
        <v>4.8550000000000004</v>
      </c>
      <c r="I78" s="16">
        <f t="shared" si="8"/>
        <v>2.0942302116555522</v>
      </c>
      <c r="J78" s="17"/>
    </row>
    <row r="79" spans="1:10" x14ac:dyDescent="0.3">
      <c r="A79" s="4" t="s">
        <v>86</v>
      </c>
      <c r="B79" s="5">
        <v>108.02</v>
      </c>
      <c r="C79" s="6">
        <v>4421</v>
      </c>
      <c r="D79" s="7">
        <v>7146</v>
      </c>
      <c r="E79" s="7">
        <v>5205</v>
      </c>
      <c r="F79" s="7">
        <v>3884</v>
      </c>
      <c r="G79" s="8">
        <f t="shared" si="6"/>
        <v>7.1459999999999999</v>
      </c>
      <c r="H79" s="8">
        <f t="shared" si="7"/>
        <v>5.2050000000000001</v>
      </c>
      <c r="I79" s="9">
        <f t="shared" si="8"/>
        <v>1.8398558187435634</v>
      </c>
      <c r="J79" s="10"/>
    </row>
    <row r="80" spans="1:10" x14ac:dyDescent="0.3">
      <c r="A80" s="11" t="s">
        <v>87</v>
      </c>
      <c r="B80" s="12">
        <v>312.08</v>
      </c>
      <c r="C80" s="13">
        <v>8167</v>
      </c>
      <c r="D80" s="14">
        <v>6891</v>
      </c>
      <c r="E80" s="14">
        <v>4556</v>
      </c>
      <c r="F80" s="14">
        <v>2990</v>
      </c>
      <c r="G80" s="15">
        <f t="shared" si="6"/>
        <v>6.891</v>
      </c>
      <c r="H80" s="15">
        <f t="shared" si="7"/>
        <v>4.556</v>
      </c>
      <c r="I80" s="16">
        <f t="shared" si="8"/>
        <v>2.3046822742474915</v>
      </c>
      <c r="J80" s="17"/>
    </row>
    <row r="81" spans="1:10" x14ac:dyDescent="0.3">
      <c r="A81" s="18" t="s">
        <v>88</v>
      </c>
      <c r="B81" s="19">
        <v>32.340000000000003</v>
      </c>
      <c r="C81" s="20">
        <v>2321</v>
      </c>
      <c r="D81" s="21">
        <v>6757</v>
      </c>
      <c r="E81" s="21">
        <v>5499</v>
      </c>
      <c r="F81" s="21">
        <v>1812</v>
      </c>
      <c r="G81" s="22">
        <f t="shared" si="6"/>
        <v>6.7569999999999997</v>
      </c>
      <c r="H81" s="22">
        <f t="shared" si="7"/>
        <v>5.4989999999999997</v>
      </c>
      <c r="I81" s="23">
        <f t="shared" si="8"/>
        <v>3.7290286975717439</v>
      </c>
      <c r="J81" s="24"/>
    </row>
    <row r="82" spans="1:10" x14ac:dyDescent="0.3">
      <c r="A82" s="11" t="s">
        <v>89</v>
      </c>
      <c r="B82" s="12">
        <v>96.41</v>
      </c>
      <c r="C82" s="13">
        <v>4397</v>
      </c>
      <c r="D82" s="14">
        <v>6733</v>
      </c>
      <c r="E82" s="14">
        <v>4565</v>
      </c>
      <c r="F82" s="14">
        <v>2762</v>
      </c>
      <c r="G82" s="15">
        <f t="shared" si="6"/>
        <v>6.7329999999999997</v>
      </c>
      <c r="H82" s="15">
        <f t="shared" si="7"/>
        <v>4.5650000000000004</v>
      </c>
      <c r="I82" s="16">
        <f t="shared" si="8"/>
        <v>2.4377262853005068</v>
      </c>
      <c r="J82" s="17"/>
    </row>
    <row r="83" spans="1:10" x14ac:dyDescent="0.3">
      <c r="A83" s="4" t="s">
        <v>90</v>
      </c>
      <c r="B83" s="5">
        <v>60.32</v>
      </c>
      <c r="C83" s="6">
        <v>3294</v>
      </c>
      <c r="D83" s="7">
        <v>6522</v>
      </c>
      <c r="E83" s="7">
        <v>4828</v>
      </c>
      <c r="F83" s="7">
        <v>3665</v>
      </c>
      <c r="G83" s="8">
        <f t="shared" si="6"/>
        <v>6.5220000000000002</v>
      </c>
      <c r="H83" s="8">
        <f t="shared" si="7"/>
        <v>4.8280000000000003</v>
      </c>
      <c r="I83" s="9">
        <f t="shared" si="8"/>
        <v>1.7795361527967257</v>
      </c>
      <c r="J83" s="10"/>
    </row>
    <row r="84" spans="1:10" x14ac:dyDescent="0.3">
      <c r="A84" s="11" t="s">
        <v>91</v>
      </c>
      <c r="B84" s="12">
        <v>77.3</v>
      </c>
      <c r="C84" s="13">
        <v>3938</v>
      </c>
      <c r="D84" s="14">
        <v>6398</v>
      </c>
      <c r="E84" s="14">
        <v>4350</v>
      </c>
      <c r="F84" s="14">
        <v>2947</v>
      </c>
      <c r="G84" s="15">
        <f t="shared" si="6"/>
        <v>6.3979999999999997</v>
      </c>
      <c r="H84" s="15">
        <f t="shared" si="7"/>
        <v>4.3499999999999996</v>
      </c>
      <c r="I84" s="16">
        <f t="shared" si="8"/>
        <v>2.1710213776722092</v>
      </c>
      <c r="J84" s="17"/>
    </row>
    <row r="85" spans="1:10" x14ac:dyDescent="0.3">
      <c r="A85" s="4" t="s">
        <v>92</v>
      </c>
      <c r="B85" s="5">
        <v>181.22</v>
      </c>
      <c r="C85" s="6">
        <v>5265</v>
      </c>
      <c r="D85" s="7">
        <v>6398</v>
      </c>
      <c r="E85" s="7">
        <v>3339</v>
      </c>
      <c r="F85" s="7">
        <v>2399</v>
      </c>
      <c r="G85" s="8">
        <f t="shared" si="6"/>
        <v>6.3979999999999997</v>
      </c>
      <c r="H85" s="8">
        <f t="shared" si="7"/>
        <v>3.339</v>
      </c>
      <c r="I85" s="9">
        <f t="shared" si="8"/>
        <v>2.6669445602334307</v>
      </c>
      <c r="J85" s="10"/>
    </row>
    <row r="86" spans="1:10" x14ac:dyDescent="0.3">
      <c r="A86" s="18" t="s">
        <v>93</v>
      </c>
      <c r="B86" s="19">
        <v>158.96</v>
      </c>
      <c r="C86" s="20">
        <v>5463</v>
      </c>
      <c r="D86" s="21">
        <v>6370</v>
      </c>
      <c r="E86" s="21">
        <v>4993</v>
      </c>
      <c r="F86" s="21">
        <v>1794</v>
      </c>
      <c r="G86" s="22">
        <f t="shared" si="6"/>
        <v>6.37</v>
      </c>
      <c r="H86" s="22">
        <f t="shared" si="7"/>
        <v>4.9930000000000003</v>
      </c>
      <c r="I86" s="23">
        <f t="shared" si="8"/>
        <v>3.5507246376811592</v>
      </c>
      <c r="J86" s="24"/>
    </row>
    <row r="87" spans="1:10" x14ac:dyDescent="0.3">
      <c r="A87" s="4" t="s">
        <v>94</v>
      </c>
      <c r="B87" s="5">
        <v>95.56</v>
      </c>
      <c r="C87" s="6">
        <v>5072</v>
      </c>
      <c r="D87" s="7">
        <v>6146</v>
      </c>
      <c r="E87" s="7">
        <v>3813</v>
      </c>
      <c r="F87" s="7">
        <v>2553</v>
      </c>
      <c r="G87" s="8">
        <f t="shared" si="6"/>
        <v>6.1459999999999999</v>
      </c>
      <c r="H87" s="8">
        <f t="shared" si="7"/>
        <v>3.8130000000000002</v>
      </c>
      <c r="I87" s="9">
        <f t="shared" si="8"/>
        <v>2.407363885624755</v>
      </c>
      <c r="J87" s="10"/>
    </row>
    <row r="88" spans="1:10" x14ac:dyDescent="0.3">
      <c r="A88" s="11" t="s">
        <v>95</v>
      </c>
      <c r="B88" s="12">
        <v>126.14</v>
      </c>
      <c r="C88" s="13">
        <v>5327</v>
      </c>
      <c r="D88" s="14">
        <v>6038</v>
      </c>
      <c r="E88" s="14">
        <v>3366</v>
      </c>
      <c r="F88" s="14">
        <v>2501</v>
      </c>
      <c r="G88" s="15">
        <f t="shared" si="6"/>
        <v>6.0380000000000003</v>
      </c>
      <c r="H88" s="15">
        <f t="shared" si="7"/>
        <v>3.3660000000000001</v>
      </c>
      <c r="I88" s="16">
        <f t="shared" si="8"/>
        <v>2.4142343062774891</v>
      </c>
      <c r="J88" s="17"/>
    </row>
    <row r="89" spans="1:10" x14ac:dyDescent="0.3">
      <c r="A89" s="18" t="s">
        <v>96</v>
      </c>
      <c r="B89" s="19">
        <v>134.35</v>
      </c>
      <c r="C89" s="20">
        <v>5374</v>
      </c>
      <c r="D89" s="21">
        <v>5853</v>
      </c>
      <c r="E89" s="21">
        <v>3325</v>
      </c>
      <c r="F89" s="21">
        <v>1928</v>
      </c>
      <c r="G89" s="22">
        <f t="shared" si="6"/>
        <v>5.8529999999999998</v>
      </c>
      <c r="H89" s="22">
        <f t="shared" si="7"/>
        <v>3.3250000000000002</v>
      </c>
      <c r="I89" s="23">
        <f t="shared" si="8"/>
        <v>3.0357883817427385</v>
      </c>
      <c r="J89" s="24"/>
    </row>
    <row r="90" spans="1:10" x14ac:dyDescent="0.3">
      <c r="A90" s="18" t="s">
        <v>97</v>
      </c>
      <c r="B90" s="19">
        <v>216.06</v>
      </c>
      <c r="C90" s="20">
        <v>5853</v>
      </c>
      <c r="D90" s="21">
        <v>5768</v>
      </c>
      <c r="E90" s="21">
        <v>2823</v>
      </c>
      <c r="F90" s="21">
        <v>814</v>
      </c>
      <c r="G90" s="22">
        <f t="shared" si="6"/>
        <v>5.7679999999999998</v>
      </c>
      <c r="H90" s="22">
        <f t="shared" si="7"/>
        <v>2.823</v>
      </c>
      <c r="I90" s="23">
        <f t="shared" si="8"/>
        <v>7.0859950859950862</v>
      </c>
      <c r="J90" s="24"/>
    </row>
    <row r="91" spans="1:10" x14ac:dyDescent="0.3">
      <c r="A91" s="18" t="s">
        <v>98</v>
      </c>
      <c r="B91" s="19">
        <v>109.08</v>
      </c>
      <c r="C91" s="20">
        <v>4750</v>
      </c>
      <c r="D91" s="21">
        <v>5675</v>
      </c>
      <c r="E91" s="21">
        <v>2350</v>
      </c>
      <c r="F91" s="21">
        <v>1817</v>
      </c>
      <c r="G91" s="22">
        <f t="shared" si="6"/>
        <v>5.6749999999999998</v>
      </c>
      <c r="H91" s="22">
        <f t="shared" si="7"/>
        <v>2.35</v>
      </c>
      <c r="I91" s="23">
        <f t="shared" si="8"/>
        <v>3.1232801320858559</v>
      </c>
      <c r="J91" s="24"/>
    </row>
    <row r="92" spans="1:10" x14ac:dyDescent="0.3">
      <c r="A92" s="18" t="s">
        <v>99</v>
      </c>
      <c r="B92" s="19">
        <v>247.22</v>
      </c>
      <c r="C92" s="20">
        <v>7477</v>
      </c>
      <c r="D92" s="21">
        <v>5564</v>
      </c>
      <c r="E92" s="21">
        <v>2350</v>
      </c>
      <c r="F92" s="21">
        <v>1751</v>
      </c>
      <c r="G92" s="22">
        <f t="shared" si="6"/>
        <v>5.5640000000000001</v>
      </c>
      <c r="H92" s="22">
        <f t="shared" si="7"/>
        <v>2.35</v>
      </c>
      <c r="I92" s="23">
        <f t="shared" si="8"/>
        <v>3.1776127926898914</v>
      </c>
      <c r="J92" s="24"/>
    </row>
    <row r="93" spans="1:10" x14ac:dyDescent="0.3">
      <c r="A93" s="4" t="s">
        <v>100</v>
      </c>
      <c r="B93" s="5">
        <v>77.569999999999993</v>
      </c>
      <c r="C93" s="6">
        <v>4424</v>
      </c>
      <c r="D93" s="7">
        <v>4859</v>
      </c>
      <c r="E93" s="7">
        <v>2626</v>
      </c>
      <c r="F93" s="7">
        <v>1818</v>
      </c>
      <c r="G93" s="8">
        <f t="shared" si="6"/>
        <v>4.859</v>
      </c>
      <c r="H93" s="8">
        <f t="shared" si="7"/>
        <v>2.6259999999999999</v>
      </c>
      <c r="I93" s="9">
        <f t="shared" si="8"/>
        <v>2.6727172717271728</v>
      </c>
      <c r="J93" s="10"/>
    </row>
    <row r="94" spans="1:10" x14ac:dyDescent="0.3">
      <c r="A94" s="11" t="s">
        <v>101</v>
      </c>
      <c r="B94" s="12">
        <v>58.11</v>
      </c>
      <c r="C94" s="13">
        <v>3300</v>
      </c>
      <c r="D94" s="14">
        <v>4552</v>
      </c>
      <c r="E94" s="14">
        <v>2823</v>
      </c>
      <c r="F94" s="14">
        <v>1625</v>
      </c>
      <c r="G94" s="15">
        <f t="shared" si="6"/>
        <v>4.5519999999999996</v>
      </c>
      <c r="H94" s="15">
        <f t="shared" si="7"/>
        <v>2.823</v>
      </c>
      <c r="I94" s="16">
        <f t="shared" si="8"/>
        <v>2.8012307692307692</v>
      </c>
      <c r="J94" s="17"/>
    </row>
    <row r="95" spans="1:10" x14ac:dyDescent="0.3">
      <c r="A95" s="4" t="s">
        <v>102</v>
      </c>
      <c r="B95" s="5">
        <v>77.14</v>
      </c>
      <c r="C95" s="6">
        <v>4019</v>
      </c>
      <c r="D95" s="7">
        <v>4417</v>
      </c>
      <c r="E95" s="7">
        <v>3449</v>
      </c>
      <c r="F95" s="7">
        <v>2427</v>
      </c>
      <c r="G95" s="8">
        <f t="shared" si="6"/>
        <v>4.4169999999999998</v>
      </c>
      <c r="H95" s="8">
        <f t="shared" si="7"/>
        <v>3.4489999999999998</v>
      </c>
      <c r="I95" s="9">
        <f t="shared" si="8"/>
        <v>1.8199423156159868</v>
      </c>
      <c r="J95" s="10"/>
    </row>
    <row r="96" spans="1:10" x14ac:dyDescent="0.3">
      <c r="A96" s="18" t="s">
        <v>103</v>
      </c>
      <c r="B96" s="19">
        <v>69.489999999999995</v>
      </c>
      <c r="C96" s="20">
        <v>3396</v>
      </c>
      <c r="D96" s="21">
        <v>4417</v>
      </c>
      <c r="E96" s="21">
        <v>2196</v>
      </c>
      <c r="F96" s="21">
        <v>1412</v>
      </c>
      <c r="G96" s="22">
        <f t="shared" si="6"/>
        <v>4.4169999999999998</v>
      </c>
      <c r="H96" s="22">
        <f t="shared" si="7"/>
        <v>2.1960000000000002</v>
      </c>
      <c r="I96" s="23">
        <f t="shared" si="8"/>
        <v>3.1281869688385271</v>
      </c>
      <c r="J96" s="24"/>
    </row>
    <row r="97" spans="1:10" x14ac:dyDescent="0.3">
      <c r="A97" s="18" t="s">
        <v>104</v>
      </c>
      <c r="B97" s="19">
        <v>116.19</v>
      </c>
      <c r="C97" s="20">
        <v>5494</v>
      </c>
      <c r="D97" s="21">
        <v>4360</v>
      </c>
      <c r="E97" s="21">
        <v>1623</v>
      </c>
      <c r="F97" s="21">
        <v>859</v>
      </c>
      <c r="G97" s="22">
        <f t="shared" si="6"/>
        <v>4.3600000000000003</v>
      </c>
      <c r="H97" s="22">
        <f t="shared" si="7"/>
        <v>1.623</v>
      </c>
      <c r="I97" s="23">
        <f t="shared" si="8"/>
        <v>5.0756693830034925</v>
      </c>
      <c r="J97" s="24"/>
    </row>
    <row r="98" spans="1:10" x14ac:dyDescent="0.3">
      <c r="A98" s="18" t="s">
        <v>105</v>
      </c>
      <c r="B98" s="19">
        <v>81.709999999999994</v>
      </c>
      <c r="C98" s="20">
        <v>3644</v>
      </c>
      <c r="D98" s="21">
        <v>4288</v>
      </c>
      <c r="E98" s="21">
        <v>2417</v>
      </c>
      <c r="F98" s="21">
        <v>1405</v>
      </c>
      <c r="G98" s="22">
        <f t="shared" si="6"/>
        <v>4.2880000000000003</v>
      </c>
      <c r="H98" s="22">
        <f t="shared" si="7"/>
        <v>2.4169999999999998</v>
      </c>
      <c r="I98" s="23">
        <f t="shared" si="8"/>
        <v>3.0519572953736653</v>
      </c>
      <c r="J98" s="24"/>
    </row>
    <row r="99" spans="1:10" x14ac:dyDescent="0.3">
      <c r="A99" s="18" t="s">
        <v>106</v>
      </c>
      <c r="B99" s="19">
        <v>115.98</v>
      </c>
      <c r="C99" s="20">
        <v>4428</v>
      </c>
      <c r="D99" s="21">
        <v>4188</v>
      </c>
      <c r="E99" s="21">
        <v>848</v>
      </c>
      <c r="F99" s="21">
        <v>146</v>
      </c>
      <c r="G99" s="22">
        <f t="shared" si="6"/>
        <v>4.1879999999999997</v>
      </c>
      <c r="H99" s="22">
        <f t="shared" si="7"/>
        <v>0.84799999999999998</v>
      </c>
      <c r="I99" s="23">
        <f t="shared" si="8"/>
        <v>28.684931506849313</v>
      </c>
      <c r="J99" s="24"/>
    </row>
    <row r="100" spans="1:10" x14ac:dyDescent="0.3">
      <c r="A100" s="18" t="s">
        <v>107</v>
      </c>
      <c r="B100" s="19">
        <v>41.91</v>
      </c>
      <c r="C100" s="20">
        <v>3348</v>
      </c>
      <c r="D100" s="21">
        <v>4132</v>
      </c>
      <c r="E100" s="21">
        <v>2550</v>
      </c>
      <c r="F100" s="21">
        <v>1009</v>
      </c>
      <c r="G100" s="22">
        <f t="shared" si="6"/>
        <v>4.1319999999999997</v>
      </c>
      <c r="H100" s="22">
        <f t="shared" si="7"/>
        <v>2.5499999999999998</v>
      </c>
      <c r="I100" s="23">
        <f t="shared" si="8"/>
        <v>4.0951437066402381</v>
      </c>
      <c r="J100" s="24"/>
    </row>
    <row r="101" spans="1:10" x14ac:dyDescent="0.3">
      <c r="A101" s="18" t="s">
        <v>108</v>
      </c>
      <c r="B101" s="19">
        <v>47.16</v>
      </c>
      <c r="C101" s="20">
        <v>3144</v>
      </c>
      <c r="D101" s="21">
        <v>4132</v>
      </c>
      <c r="E101" s="21">
        <v>3268</v>
      </c>
      <c r="F101" s="21">
        <v>1296</v>
      </c>
      <c r="G101" s="22">
        <f t="shared" ref="G101:G107" si="9">D101/1000</f>
        <v>4.1319999999999997</v>
      </c>
      <c r="H101" s="22">
        <f t="shared" ref="H101:H107" si="10">E101/1000</f>
        <v>3.2679999999999998</v>
      </c>
      <c r="I101" s="23">
        <f t="shared" ref="I101:I107" si="11">IFERROR(D101/F101,"")</f>
        <v>3.1882716049382718</v>
      </c>
      <c r="J101" s="24"/>
    </row>
    <row r="102" spans="1:10" x14ac:dyDescent="0.3">
      <c r="A102" s="18" t="s">
        <v>109</v>
      </c>
      <c r="B102" s="19">
        <v>101.37</v>
      </c>
      <c r="C102" s="20">
        <v>4345</v>
      </c>
      <c r="D102" s="21">
        <v>4020</v>
      </c>
      <c r="E102" s="21">
        <v>1832</v>
      </c>
      <c r="F102" s="21">
        <v>1064</v>
      </c>
      <c r="G102" s="22">
        <f t="shared" si="9"/>
        <v>4.0199999999999996</v>
      </c>
      <c r="H102" s="22">
        <f t="shared" si="10"/>
        <v>1.8320000000000001</v>
      </c>
      <c r="I102" s="23">
        <f t="shared" si="11"/>
        <v>3.7781954887218046</v>
      </c>
      <c r="J102" s="24"/>
    </row>
    <row r="103" spans="1:10" x14ac:dyDescent="0.3">
      <c r="A103" s="4" t="s">
        <v>110</v>
      </c>
      <c r="B103" s="5">
        <v>16.989999999999998</v>
      </c>
      <c r="C103" s="6">
        <v>2254</v>
      </c>
      <c r="D103" s="7">
        <v>2937</v>
      </c>
      <c r="E103" s="7">
        <v>2350</v>
      </c>
      <c r="F103" s="7">
        <v>1819</v>
      </c>
      <c r="G103" s="8">
        <f t="shared" si="9"/>
        <v>2.9369999999999998</v>
      </c>
      <c r="H103" s="8">
        <f t="shared" si="10"/>
        <v>2.35</v>
      </c>
      <c r="I103" s="9">
        <f t="shared" si="11"/>
        <v>1.6146234194612425</v>
      </c>
      <c r="J103" s="10"/>
    </row>
    <row r="104" spans="1:10" x14ac:dyDescent="0.3">
      <c r="A104" s="18" t="s">
        <v>111</v>
      </c>
      <c r="B104" s="19">
        <v>53.79</v>
      </c>
      <c r="C104" s="20">
        <v>3036</v>
      </c>
      <c r="D104" s="21">
        <v>2615</v>
      </c>
      <c r="E104" s="21">
        <v>1054</v>
      </c>
      <c r="F104" s="21">
        <v>607</v>
      </c>
      <c r="G104" s="22">
        <f t="shared" si="9"/>
        <v>2.6150000000000002</v>
      </c>
      <c r="H104" s="22">
        <f t="shared" si="10"/>
        <v>1.054</v>
      </c>
      <c r="I104" s="23">
        <f t="shared" si="11"/>
        <v>4.3080724876441518</v>
      </c>
      <c r="J104" s="24"/>
    </row>
    <row r="105" spans="1:10" x14ac:dyDescent="0.3">
      <c r="A105" s="18" t="s">
        <v>112</v>
      </c>
      <c r="B105" s="19">
        <v>58.91</v>
      </c>
      <c r="C105" s="20">
        <v>3665</v>
      </c>
      <c r="D105" s="21">
        <v>2594</v>
      </c>
      <c r="E105" s="21">
        <v>573</v>
      </c>
      <c r="F105" s="21">
        <v>137</v>
      </c>
      <c r="G105" s="22">
        <f t="shared" si="9"/>
        <v>2.5939999999999999</v>
      </c>
      <c r="H105" s="22">
        <f t="shared" si="10"/>
        <v>0.57299999999999995</v>
      </c>
      <c r="I105" s="23">
        <f t="shared" si="11"/>
        <v>18.934306569343065</v>
      </c>
      <c r="J105" s="24"/>
    </row>
    <row r="106" spans="1:10" x14ac:dyDescent="0.3">
      <c r="A106" s="18" t="s">
        <v>113</v>
      </c>
      <c r="B106" s="19">
        <v>46.71</v>
      </c>
      <c r="C106" s="20">
        <v>3528</v>
      </c>
      <c r="D106" s="21">
        <v>2472</v>
      </c>
      <c r="E106" s="21">
        <v>897</v>
      </c>
      <c r="F106" s="21">
        <v>363</v>
      </c>
      <c r="G106" s="22">
        <f t="shared" si="9"/>
        <v>2.472</v>
      </c>
      <c r="H106" s="22">
        <f t="shared" si="10"/>
        <v>0.89700000000000002</v>
      </c>
      <c r="I106" s="23">
        <f t="shared" si="11"/>
        <v>6.8099173553719012</v>
      </c>
      <c r="J106" s="24"/>
    </row>
    <row r="107" spans="1:10" x14ac:dyDescent="0.3">
      <c r="A107" s="4" t="s">
        <v>114</v>
      </c>
      <c r="B107" s="5">
        <v>51.47</v>
      </c>
      <c r="C107" s="6">
        <v>3236</v>
      </c>
      <c r="D107" s="7">
        <v>1655</v>
      </c>
      <c r="E107" s="7">
        <v>1054</v>
      </c>
      <c r="F107" s="7">
        <v>648</v>
      </c>
      <c r="G107" s="8">
        <f t="shared" si="9"/>
        <v>1.655</v>
      </c>
      <c r="H107" s="8">
        <f t="shared" si="10"/>
        <v>1.054</v>
      </c>
      <c r="I107" s="9">
        <f t="shared" si="11"/>
        <v>2.5540123456790123</v>
      </c>
      <c r="J107" s="10"/>
    </row>
    <row r="109" spans="1:10" x14ac:dyDescent="0.3">
      <c r="A109" s="25" t="s">
        <v>115</v>
      </c>
      <c r="B109" s="26">
        <f>SUM(B5:B107)</f>
        <v>10566.599999999995</v>
      </c>
      <c r="D109" s="27">
        <f>MAX(D5:D107)</f>
        <v>27701</v>
      </c>
      <c r="G109" s="28">
        <f>IFERROR(MAX(G5:G107),"")</f>
        <v>27.701000000000001</v>
      </c>
      <c r="I109" s="29">
        <f>IFERROR(AVERAGE(I5:I107),"")</f>
        <v>2.6084976034614011</v>
      </c>
    </row>
    <row r="110" spans="1:10" x14ac:dyDescent="0.3">
      <c r="A110" s="30" t="s">
        <v>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4" x14ac:dyDescent="0.3"/>
  <cols>
    <col min="1" max="1" width="26" customWidth="1"/>
    <col min="2" max="2" width="95" customWidth="1"/>
  </cols>
  <sheetData>
    <row r="1" spans="1:2" ht="16.8" x14ac:dyDescent="0.3">
      <c r="A1" s="31" t="s">
        <v>117</v>
      </c>
    </row>
    <row r="3" spans="1:2" ht="30" customHeight="1" x14ac:dyDescent="0.3">
      <c r="A3" s="32" t="s">
        <v>118</v>
      </c>
      <c r="B3" s="33" t="s">
        <v>119</v>
      </c>
    </row>
    <row r="4" spans="1:2" ht="30" customHeight="1" x14ac:dyDescent="0.3">
      <c r="A4" s="32" t="s">
        <v>120</v>
      </c>
      <c r="B4" s="33" t="s">
        <v>121</v>
      </c>
    </row>
    <row r="5" spans="1:2" ht="30" customHeight="1" x14ac:dyDescent="0.3">
      <c r="A5" s="32" t="s">
        <v>122</v>
      </c>
      <c r="B5" s="33" t="s">
        <v>123</v>
      </c>
    </row>
    <row r="6" spans="1:2" ht="30" customHeight="1" x14ac:dyDescent="0.3">
      <c r="A6" s="32" t="s">
        <v>124</v>
      </c>
      <c r="B6" s="33" t="s">
        <v>125</v>
      </c>
    </row>
    <row r="7" spans="1:2" ht="30" customHeight="1" x14ac:dyDescent="0.3">
      <c r="A7" s="32" t="s">
        <v>126</v>
      </c>
      <c r="B7" s="33" t="s">
        <v>127</v>
      </c>
    </row>
    <row r="8" spans="1:2" ht="30" customHeight="1" x14ac:dyDescent="0.3">
      <c r="A8" s="32" t="s">
        <v>128</v>
      </c>
      <c r="B8" s="33" t="s">
        <v>129</v>
      </c>
    </row>
    <row r="9" spans="1:2" ht="30" customHeight="1" x14ac:dyDescent="0.3">
      <c r="A9" s="32" t="s">
        <v>130</v>
      </c>
      <c r="B9" s="33" t="s">
        <v>131</v>
      </c>
    </row>
    <row r="10" spans="1:2" ht="30" customHeight="1" x14ac:dyDescent="0.3">
      <c r="A10" s="32" t="s">
        <v>132</v>
      </c>
      <c r="B10" s="33" t="s">
        <v>133</v>
      </c>
    </row>
    <row r="11" spans="1:2" ht="30" customHeight="1" x14ac:dyDescent="0.3">
      <c r="A11" s="32" t="s">
        <v>134</v>
      </c>
      <c r="B11" s="33" t="s">
        <v>135</v>
      </c>
    </row>
    <row r="12" spans="1:2" ht="30" customHeight="1" x14ac:dyDescent="0.3">
      <c r="A12" s="32" t="s">
        <v>136</v>
      </c>
      <c r="B12" s="33" t="s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Distâncias</vt:lpstr>
      <vt:lpstr>Premissas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Maxsander dos Santos Vilela</cp:lastModifiedBy>
  <dcterms:created xsi:type="dcterms:W3CDTF">2026-09-23T18:15:20Z</dcterms:created>
  <dcterms:modified xsi:type="dcterms:W3CDTF">2026-09-23T18:15:43Z</dcterms:modified>
</cp:coreProperties>
</file>