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3020CF9F-678D-4422-B0FA-DCFCE03005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l="1"/>
  <c r="I34" i="1"/>
</calcChain>
</file>

<file path=xl/sharedStrings.xml><?xml version="1.0" encoding="utf-8"?>
<sst xmlns="http://schemas.openxmlformats.org/spreadsheetml/2006/main" count="69" uniqueCount="66">
  <si>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</si>
  <si>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</si>
  <si>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</si>
  <si>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</si>
  <si>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</si>
  <si>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</si>
  <si>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</si>
  <si>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</si>
  <si>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</si>
  <si>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</si>
  <si>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</si>
  <si>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</si>
  <si>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T-09</t>
  </si>
  <si>
    <t>T-13</t>
  </si>
  <si>
    <t>T-10</t>
  </si>
  <si>
    <t>T-14</t>
  </si>
  <si>
    <t>T-04</t>
  </si>
  <si>
    <t>T-11</t>
  </si>
  <si>
    <t>T-03</t>
  </si>
  <si>
    <t>T-07</t>
  </si>
  <si>
    <t>T-11A</t>
  </si>
  <si>
    <t>T-12</t>
  </si>
  <si>
    <t>T-02</t>
  </si>
  <si>
    <t>T-17</t>
  </si>
  <si>
    <t>T-08</t>
  </si>
  <si>
    <t>T-15</t>
  </si>
  <si>
    <t>T-16</t>
  </si>
  <si>
    <t>T-01</t>
  </si>
  <si>
    <t>T-21</t>
  </si>
  <si>
    <t>T-06</t>
  </si>
  <si>
    <t>T-21R</t>
  </si>
  <si>
    <t>A-01</t>
  </si>
  <si>
    <t>T-05</t>
  </si>
  <si>
    <t>T-20</t>
  </si>
  <si>
    <t>T-19</t>
  </si>
  <si>
    <t>T-10A</t>
  </si>
  <si>
    <t>P-02</t>
  </si>
  <si>
    <t>T-18</t>
  </si>
  <si>
    <t>R-08</t>
  </si>
  <si>
    <t>P-26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</si>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</sst>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3" borderId="1" xfId="0" applyNumberFormat="1" applyFont="1" applyFill="1" applyBorder="1"/>
    <xf numFmtId="4" fontId="5" fillId="3" borderId="1" xfId="0" applyNumberFormat="1" applyFont="1" applyFill="1" applyBorder="1" applyAlignment="1">
      <alignment horizontal="right"/>
    </xf>
    <xf numFmtId="2" fontId="5" fillId="3" borderId="1" xfId="0" applyNumberFormat="1" applyFont="1" applyFill="1" applyBorder="1" applyAlignment="1">
      <alignment horizontal="right"/>
    </xf>
    <xf numFmtId="0" fontId="9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182.48</v>
      </c>
      <c r="C5" s="6">
        <v>5481</v>
      </c>
      <c r="D5" s="7">
        <v>14839</v>
      </c>
      <c r="E5" s="7">
        <v>13289</v>
      </c>
      <c r="F5" s="7">
        <v>291</v>
      </c>
      <c r="G5" s="8">
        <f t="shared" ref="G5:G31" si="0">D5/1000</f>
        <v>14.839</v>
      </c>
      <c r="H5" s="8">
        <f t="shared" ref="H5:H31" si="1">E5/1000</f>
        <v>13.289</v>
      </c>
      <c r="I5" s="9">
        <f t="shared" ref="I5:I31" si="2">IFERROR(D5/F5,"")</f>
        <v>50.993127147766323</v>
      </c>
      <c r="J5" s="10"/>
    </row>
    <row r="6" spans="1:10" x14ac:dyDescent="0.3">
      <c r="A6" s="4" t="s">
        <v>13</v>
      </c>
      <c r="B6" s="5">
        <v>42.11</v>
      </c>
      <c r="C6" s="6">
        <v>4288</v>
      </c>
      <c r="D6" s="7">
        <v>14813</v>
      </c>
      <c r="E6" s="7">
        <v>13315</v>
      </c>
      <c r="F6" s="7">
        <v>142</v>
      </c>
      <c r="G6" s="8">
        <f t="shared" si="0"/>
        <v>14.813000000000001</v>
      </c>
      <c r="H6" s="8">
        <f t="shared" si="1"/>
        <v>13.315</v>
      </c>
      <c r="I6" s="9">
        <f t="shared" si="2"/>
        <v>104.3169014084507</v>
      </c>
      <c r="J6" s="10"/>
    </row>
    <row r="7" spans="1:10" x14ac:dyDescent="0.3">
      <c r="A7" s="4" t="s">
        <v>14</v>
      </c>
      <c r="B7" s="5">
        <v>156.94</v>
      </c>
      <c r="C7" s="6">
        <v>5252</v>
      </c>
      <c r="D7" s="7">
        <v>13341</v>
      </c>
      <c r="E7" s="7">
        <v>11763</v>
      </c>
      <c r="F7" s="7">
        <v>567</v>
      </c>
      <c r="G7" s="8">
        <f t="shared" si="0"/>
        <v>13.340999999999999</v>
      </c>
      <c r="H7" s="8">
        <f t="shared" si="1"/>
        <v>11.763</v>
      </c>
      <c r="I7" s="9">
        <f t="shared" si="2"/>
        <v>23.529100529100528</v>
      </c>
      <c r="J7" s="10"/>
    </row>
    <row r="8" spans="1:10" x14ac:dyDescent="0.3">
      <c r="A8" s="4" t="s">
        <v>15</v>
      </c>
      <c r="B8" s="5">
        <v>103.71</v>
      </c>
      <c r="C8" s="6">
        <v>4418</v>
      </c>
      <c r="D8" s="7">
        <v>13341</v>
      </c>
      <c r="E8" s="7">
        <v>11763</v>
      </c>
      <c r="F8" s="7">
        <v>546</v>
      </c>
      <c r="G8" s="8">
        <f t="shared" si="0"/>
        <v>13.340999999999999</v>
      </c>
      <c r="H8" s="8">
        <f t="shared" si="1"/>
        <v>11.763</v>
      </c>
      <c r="I8" s="9">
        <f t="shared" si="2"/>
        <v>24.434065934065934</v>
      </c>
      <c r="J8" s="10"/>
    </row>
    <row r="9" spans="1:10" x14ac:dyDescent="0.3">
      <c r="A9" s="11" t="s">
        <v>16</v>
      </c>
      <c r="B9" s="12">
        <v>69.11</v>
      </c>
      <c r="C9" s="13">
        <v>3352</v>
      </c>
      <c r="D9" s="14">
        <v>11965</v>
      </c>
      <c r="E9" s="14">
        <v>11137</v>
      </c>
      <c r="F9" s="14">
        <v>4020</v>
      </c>
      <c r="G9" s="15">
        <f t="shared" si="0"/>
        <v>11.965</v>
      </c>
      <c r="H9" s="15">
        <f t="shared" si="1"/>
        <v>11.137</v>
      </c>
      <c r="I9" s="16">
        <f t="shared" si="2"/>
        <v>2.9763681592039801</v>
      </c>
      <c r="J9" s="17"/>
    </row>
    <row r="10" spans="1:10" x14ac:dyDescent="0.3">
      <c r="A10" s="4" t="s">
        <v>17</v>
      </c>
      <c r="B10" s="5">
        <v>98.26</v>
      </c>
      <c r="C10" s="6">
        <v>4388</v>
      </c>
      <c r="D10" s="7">
        <v>11815</v>
      </c>
      <c r="E10" s="7">
        <v>10255</v>
      </c>
      <c r="F10" s="7">
        <v>2039</v>
      </c>
      <c r="G10" s="8">
        <f t="shared" si="0"/>
        <v>11.815</v>
      </c>
      <c r="H10" s="8">
        <f t="shared" si="1"/>
        <v>10.255000000000001</v>
      </c>
      <c r="I10" s="9">
        <f t="shared" si="2"/>
        <v>5.7945071113290831</v>
      </c>
      <c r="J10" s="10"/>
    </row>
    <row r="11" spans="1:10" x14ac:dyDescent="0.3">
      <c r="A11" s="4" t="s">
        <v>18</v>
      </c>
      <c r="B11" s="5">
        <v>124.45</v>
      </c>
      <c r="C11" s="6">
        <v>4845</v>
      </c>
      <c r="D11" s="7">
        <v>11192</v>
      </c>
      <c r="E11" s="7">
        <v>9579</v>
      </c>
      <c r="F11" s="7">
        <v>2795</v>
      </c>
      <c r="G11" s="8">
        <f t="shared" si="0"/>
        <v>11.192</v>
      </c>
      <c r="H11" s="8">
        <f t="shared" si="1"/>
        <v>9.5790000000000006</v>
      </c>
      <c r="I11" s="9">
        <f t="shared" si="2"/>
        <v>4.0042933810375674</v>
      </c>
      <c r="J11" s="10"/>
    </row>
    <row r="12" spans="1:10" x14ac:dyDescent="0.3">
      <c r="A12" s="4" t="s">
        <v>19</v>
      </c>
      <c r="B12" s="5">
        <v>133.59</v>
      </c>
      <c r="C12" s="6">
        <v>4784</v>
      </c>
      <c r="D12" s="7">
        <v>10433</v>
      </c>
      <c r="E12" s="7">
        <v>8897</v>
      </c>
      <c r="F12" s="7">
        <v>2279</v>
      </c>
      <c r="G12" s="8">
        <f t="shared" si="0"/>
        <v>10.433</v>
      </c>
      <c r="H12" s="8">
        <f t="shared" si="1"/>
        <v>8.8970000000000002</v>
      </c>
      <c r="I12" s="9">
        <f t="shared" si="2"/>
        <v>4.5778850372970599</v>
      </c>
      <c r="J12" s="10"/>
    </row>
    <row r="13" spans="1:10" x14ac:dyDescent="0.3">
      <c r="A13" s="4" t="s">
        <v>20</v>
      </c>
      <c r="B13" s="5">
        <v>77.290000000000006</v>
      </c>
      <c r="C13" s="6">
        <v>4270</v>
      </c>
      <c r="D13" s="7">
        <v>10433</v>
      </c>
      <c r="E13" s="7">
        <v>7965</v>
      </c>
      <c r="F13" s="7">
        <v>2214</v>
      </c>
      <c r="G13" s="8">
        <f t="shared" si="0"/>
        <v>10.433</v>
      </c>
      <c r="H13" s="8">
        <f t="shared" si="1"/>
        <v>7.9649999999999999</v>
      </c>
      <c r="I13" s="9">
        <f t="shared" si="2"/>
        <v>4.7122854561878951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10305</v>
      </c>
      <c r="E14" s="21">
        <v>8696</v>
      </c>
      <c r="F14" s="21">
        <v>3547</v>
      </c>
      <c r="G14" s="22">
        <f t="shared" si="0"/>
        <v>10.305</v>
      </c>
      <c r="H14" s="22">
        <f t="shared" si="1"/>
        <v>8.6959999999999997</v>
      </c>
      <c r="I14" s="23">
        <f t="shared" si="2"/>
        <v>2.9052720608965323</v>
      </c>
      <c r="J14" s="24"/>
    </row>
    <row r="15" spans="1:10" x14ac:dyDescent="0.3">
      <c r="A15" s="4" t="s">
        <v>22</v>
      </c>
      <c r="B15" s="5">
        <v>99.23</v>
      </c>
      <c r="C15" s="6">
        <v>4809</v>
      </c>
      <c r="D15" s="7">
        <v>9640</v>
      </c>
      <c r="E15" s="7">
        <v>7819</v>
      </c>
      <c r="F15" s="7">
        <v>2842</v>
      </c>
      <c r="G15" s="8">
        <f t="shared" si="0"/>
        <v>9.64</v>
      </c>
      <c r="H15" s="8">
        <f t="shared" si="1"/>
        <v>7.819</v>
      </c>
      <c r="I15" s="9">
        <f t="shared" si="2"/>
        <v>3.3919774806474314</v>
      </c>
      <c r="J15" s="10"/>
    </row>
    <row r="16" spans="1:10" x14ac:dyDescent="0.3">
      <c r="A16" s="18" t="s">
        <v>23</v>
      </c>
      <c r="B16" s="19">
        <v>106.47</v>
      </c>
      <c r="C16" s="20">
        <v>4634</v>
      </c>
      <c r="D16" s="21">
        <v>9450</v>
      </c>
      <c r="E16" s="21">
        <v>7892</v>
      </c>
      <c r="F16" s="21">
        <v>4379</v>
      </c>
      <c r="G16" s="22">
        <f t="shared" si="0"/>
        <v>9.4499999999999993</v>
      </c>
      <c r="H16" s="22">
        <f t="shared" si="1"/>
        <v>7.8920000000000003</v>
      </c>
      <c r="I16" s="23">
        <f t="shared" si="2"/>
        <v>2.1580269467915048</v>
      </c>
      <c r="J16" s="24"/>
    </row>
    <row r="17" spans="1:10" x14ac:dyDescent="0.3">
      <c r="A17" s="11" t="s">
        <v>24</v>
      </c>
      <c r="B17" s="12">
        <v>94.59</v>
      </c>
      <c r="C17" s="13">
        <v>3957</v>
      </c>
      <c r="D17" s="14">
        <v>8939</v>
      </c>
      <c r="E17" s="14">
        <v>8923</v>
      </c>
      <c r="F17" s="14">
        <v>3696</v>
      </c>
      <c r="G17" s="15">
        <f t="shared" si="0"/>
        <v>8.9390000000000001</v>
      </c>
      <c r="H17" s="15">
        <f t="shared" si="1"/>
        <v>8.923</v>
      </c>
      <c r="I17" s="16">
        <f t="shared" si="2"/>
        <v>2.418560606060606</v>
      </c>
      <c r="J17" s="17"/>
    </row>
    <row r="18" spans="1:10" x14ac:dyDescent="0.3">
      <c r="A18" s="4" t="s">
        <v>25</v>
      </c>
      <c r="B18" s="5">
        <v>200.37</v>
      </c>
      <c r="C18" s="6">
        <v>5776</v>
      </c>
      <c r="D18" s="7">
        <v>7739</v>
      </c>
      <c r="E18" s="7">
        <v>6203</v>
      </c>
      <c r="F18" s="7">
        <v>2045</v>
      </c>
      <c r="G18" s="8">
        <f t="shared" si="0"/>
        <v>7.7389999999999999</v>
      </c>
      <c r="H18" s="8">
        <f t="shared" si="1"/>
        <v>6.2030000000000003</v>
      </c>
      <c r="I18" s="9">
        <f t="shared" si="2"/>
        <v>3.7843520782396087</v>
      </c>
      <c r="J18" s="10"/>
    </row>
    <row r="19" spans="1:10" x14ac:dyDescent="0.3">
      <c r="A19" s="11" t="s">
        <v>26</v>
      </c>
      <c r="B19" s="12">
        <v>151.26</v>
      </c>
      <c r="C19" s="13">
        <v>5633</v>
      </c>
      <c r="D19" s="14">
        <v>7739</v>
      </c>
      <c r="E19" s="14">
        <v>5605</v>
      </c>
      <c r="F19" s="14">
        <v>3546</v>
      </c>
      <c r="G19" s="15">
        <f t="shared" si="0"/>
        <v>7.7389999999999999</v>
      </c>
      <c r="H19" s="15">
        <f t="shared" si="1"/>
        <v>5.6050000000000004</v>
      </c>
      <c r="I19" s="16">
        <f t="shared" si="2"/>
        <v>2.1824591088550478</v>
      </c>
      <c r="J19" s="17"/>
    </row>
    <row r="20" spans="1:10" x14ac:dyDescent="0.3">
      <c r="A20" s="18" t="s">
        <v>27</v>
      </c>
      <c r="B20" s="19">
        <v>151.93</v>
      </c>
      <c r="C20" s="20">
        <v>5346</v>
      </c>
      <c r="D20" s="21">
        <v>6963</v>
      </c>
      <c r="E20" s="21">
        <v>4105</v>
      </c>
      <c r="F20" s="21">
        <v>2898</v>
      </c>
      <c r="G20" s="22">
        <f t="shared" si="0"/>
        <v>6.9630000000000001</v>
      </c>
      <c r="H20" s="22">
        <f t="shared" si="1"/>
        <v>4.1050000000000004</v>
      </c>
      <c r="I20" s="23">
        <f t="shared" si="2"/>
        <v>2.4026915113871636</v>
      </c>
      <c r="J20" s="24"/>
    </row>
    <row r="21" spans="1:10" x14ac:dyDescent="0.3">
      <c r="A21" s="11" t="s">
        <v>28</v>
      </c>
      <c r="B21" s="12">
        <v>75.97</v>
      </c>
      <c r="C21" s="13">
        <v>3658</v>
      </c>
      <c r="D21" s="14">
        <v>6254</v>
      </c>
      <c r="E21" s="14">
        <v>4419</v>
      </c>
      <c r="F21" s="14">
        <v>2908</v>
      </c>
      <c r="G21" s="15">
        <f t="shared" si="0"/>
        <v>6.2539999999999996</v>
      </c>
      <c r="H21" s="15">
        <f t="shared" si="1"/>
        <v>4.4189999999999996</v>
      </c>
      <c r="I21" s="16">
        <f t="shared" si="2"/>
        <v>2.1506189821182944</v>
      </c>
      <c r="J21" s="17"/>
    </row>
    <row r="22" spans="1:10" x14ac:dyDescent="0.3">
      <c r="A22" s="4" t="s">
        <v>29</v>
      </c>
      <c r="B22" s="5">
        <v>180.3</v>
      </c>
      <c r="C22" s="6">
        <v>5857</v>
      </c>
      <c r="D22" s="7">
        <v>6045</v>
      </c>
      <c r="E22" s="7">
        <v>2269</v>
      </c>
      <c r="F22" s="7">
        <v>1530</v>
      </c>
      <c r="G22" s="8">
        <f t="shared" si="0"/>
        <v>6.0449999999999999</v>
      </c>
      <c r="H22" s="8">
        <f t="shared" si="1"/>
        <v>2.2690000000000001</v>
      </c>
      <c r="I22" s="9">
        <f t="shared" si="2"/>
        <v>3.9509803921568629</v>
      </c>
      <c r="J22" s="10"/>
    </row>
    <row r="23" spans="1:10" x14ac:dyDescent="0.3">
      <c r="A23" s="11" t="s">
        <v>30</v>
      </c>
      <c r="B23" s="12">
        <v>37.700000000000003</v>
      </c>
      <c r="C23" s="13">
        <v>2565</v>
      </c>
      <c r="D23" s="14">
        <v>4528</v>
      </c>
      <c r="E23" s="14">
        <v>4097</v>
      </c>
      <c r="F23" s="14">
        <v>2476</v>
      </c>
      <c r="G23" s="15">
        <f t="shared" si="0"/>
        <v>4.5279999999999996</v>
      </c>
      <c r="H23" s="15">
        <f t="shared" si="1"/>
        <v>4.0970000000000004</v>
      </c>
      <c r="I23" s="16">
        <f t="shared" si="2"/>
        <v>1.8287560581583198</v>
      </c>
      <c r="J23" s="17"/>
    </row>
    <row r="24" spans="1:10" x14ac:dyDescent="0.3">
      <c r="A24" s="18" t="s">
        <v>31</v>
      </c>
      <c r="B24" s="19">
        <v>37.65</v>
      </c>
      <c r="C24" s="20">
        <v>2574</v>
      </c>
      <c r="D24" s="21">
        <v>4485</v>
      </c>
      <c r="E24" s="21">
        <v>4061</v>
      </c>
      <c r="F24" s="21">
        <v>2446</v>
      </c>
      <c r="G24" s="22">
        <f t="shared" si="0"/>
        <v>4.4850000000000003</v>
      </c>
      <c r="H24" s="22">
        <f t="shared" si="1"/>
        <v>4.0609999999999999</v>
      </c>
      <c r="I24" s="23">
        <f t="shared" si="2"/>
        <v>1.8336058871627146</v>
      </c>
      <c r="J24" s="24"/>
    </row>
    <row r="25" spans="1:10" x14ac:dyDescent="0.3">
      <c r="A25" s="11" t="s">
        <v>32</v>
      </c>
      <c r="B25" s="12">
        <v>130.25</v>
      </c>
      <c r="C25" s="13">
        <v>8274</v>
      </c>
      <c r="D25" s="14">
        <v>4155</v>
      </c>
      <c r="E25" s="14">
        <v>2730</v>
      </c>
      <c r="F25" s="14">
        <v>1498</v>
      </c>
      <c r="G25" s="15">
        <f t="shared" si="0"/>
        <v>4.1550000000000002</v>
      </c>
      <c r="H25" s="15">
        <f t="shared" si="1"/>
        <v>2.73</v>
      </c>
      <c r="I25" s="16">
        <f t="shared" si="2"/>
        <v>2.7736982643524701</v>
      </c>
      <c r="J25" s="17"/>
    </row>
    <row r="26" spans="1:10" x14ac:dyDescent="0.3">
      <c r="A26" s="4" t="s">
        <v>33</v>
      </c>
      <c r="B26" s="5">
        <v>135.58000000000001</v>
      </c>
      <c r="C26" s="6">
        <v>4844</v>
      </c>
      <c r="D26" s="7">
        <v>4097</v>
      </c>
      <c r="E26" s="7">
        <v>1555</v>
      </c>
      <c r="F26" s="7">
        <v>1228</v>
      </c>
      <c r="G26" s="8">
        <f t="shared" si="0"/>
        <v>4.0970000000000004</v>
      </c>
      <c r="H26" s="8">
        <f t="shared" si="1"/>
        <v>1.5549999999999999</v>
      </c>
      <c r="I26" s="9">
        <f t="shared" si="2"/>
        <v>3.3363192182410422</v>
      </c>
      <c r="J26" s="10"/>
    </row>
    <row r="27" spans="1:10" x14ac:dyDescent="0.3">
      <c r="A27" s="4" t="s">
        <v>34</v>
      </c>
      <c r="B27" s="5">
        <v>177.46</v>
      </c>
      <c r="C27" s="6">
        <v>5465</v>
      </c>
      <c r="D27" s="7">
        <v>4094</v>
      </c>
      <c r="E27" s="7">
        <v>1555</v>
      </c>
      <c r="F27" s="7">
        <v>969</v>
      </c>
      <c r="G27" s="8">
        <f t="shared" si="0"/>
        <v>4.0940000000000003</v>
      </c>
      <c r="H27" s="8">
        <f t="shared" si="1"/>
        <v>1.5549999999999999</v>
      </c>
      <c r="I27" s="9">
        <f t="shared" si="2"/>
        <v>4.2249742002063986</v>
      </c>
      <c r="J27" s="10"/>
    </row>
    <row r="28" spans="1:10" x14ac:dyDescent="0.3">
      <c r="A28" s="18" t="s">
        <v>35</v>
      </c>
      <c r="B28" s="19">
        <v>25.3</v>
      </c>
      <c r="C28" s="20">
        <v>3448</v>
      </c>
      <c r="D28" s="21">
        <v>2326</v>
      </c>
      <c r="E28" s="21">
        <v>2269</v>
      </c>
      <c r="F28" s="21">
        <v>1527</v>
      </c>
      <c r="G28" s="22">
        <f t="shared" si="0"/>
        <v>2.3260000000000001</v>
      </c>
      <c r="H28" s="22">
        <f t="shared" si="1"/>
        <v>2.2690000000000001</v>
      </c>
      <c r="I28" s="23">
        <f t="shared" si="2"/>
        <v>1.5232481990831697</v>
      </c>
      <c r="J28" s="24"/>
    </row>
    <row r="29" spans="1:10" x14ac:dyDescent="0.3">
      <c r="A29" s="11" t="s">
        <v>36</v>
      </c>
      <c r="B29" s="12">
        <v>78.38</v>
      </c>
      <c r="C29" s="13">
        <v>4052</v>
      </c>
      <c r="D29" s="14">
        <v>1584</v>
      </c>
      <c r="E29" s="14">
        <v>994</v>
      </c>
      <c r="F29" s="14">
        <v>767</v>
      </c>
      <c r="G29" s="15">
        <f t="shared" si="0"/>
        <v>1.5840000000000001</v>
      </c>
      <c r="H29" s="15">
        <f t="shared" si="1"/>
        <v>0.99399999999999999</v>
      </c>
      <c r="I29" s="16">
        <f t="shared" si="2"/>
        <v>2.0651890482398958</v>
      </c>
      <c r="J29" s="17"/>
    </row>
    <row r="30" spans="1:10" x14ac:dyDescent="0.3">
      <c r="A30" s="4" t="s">
        <v>37</v>
      </c>
      <c r="B30" s="5">
        <v>72.67</v>
      </c>
      <c r="C30" s="6">
        <v>4022</v>
      </c>
      <c r="D30" s="7">
        <v>1584</v>
      </c>
      <c r="E30" s="7">
        <v>1020</v>
      </c>
      <c r="F30" s="7">
        <v>473</v>
      </c>
      <c r="G30" s="8">
        <f t="shared" si="0"/>
        <v>1.5840000000000001</v>
      </c>
      <c r="H30" s="8">
        <f t="shared" si="1"/>
        <v>1.02</v>
      </c>
      <c r="I30" s="9">
        <f t="shared" si="2"/>
        <v>3.3488372093023258</v>
      </c>
      <c r="J30" s="10"/>
    </row>
    <row r="31" spans="1:10" x14ac:dyDescent="0.3">
      <c r="A31" s="4" t="s">
        <v>38</v>
      </c>
      <c r="B31" s="5">
        <v>53.1</v>
      </c>
      <c r="C31" s="6">
        <v>3752</v>
      </c>
      <c r="D31" s="7">
        <v>1100</v>
      </c>
      <c r="E31" s="7">
        <v>119</v>
      </c>
      <c r="F31" s="7">
        <v>121</v>
      </c>
      <c r="G31" s="8">
        <f t="shared" si="0"/>
        <v>1.1000000000000001</v>
      </c>
      <c r="H31" s="8">
        <f t="shared" si="1"/>
        <v>0.11899999999999999</v>
      </c>
      <c r="I31" s="9">
        <f t="shared" si="2"/>
        <v>9.0909090909090917</v>
      </c>
      <c r="J31" s="10"/>
    </row>
    <row r="32" spans="1:10" x14ac:dyDescent="0.3">
      <c r="A32" s="4" t="s">
        <v>39</v>
      </c>
      <c r="B32" s="5">
        <v>38.369999999999997</v>
      </c>
      <c r="C32" s="6">
        <v>2500</v>
      </c>
      <c r="D32" s="25" t="s">
        <v>40</v>
      </c>
      <c r="E32" s="25" t="s">
        <v>40</v>
      </c>
      <c r="F32" s="7">
        <v>4243</v>
      </c>
      <c r="G32" s="26" t="s">
        <v>41</v>
      </c>
      <c r="H32" s="26" t="s">
        <v>41</v>
      </c>
      <c r="I32" s="27" t="s">
        <v>41</v>
      </c>
      <c r="J32" s="28" t="s">
        <v>42</v>
      </c>
    </row>
    <row r="34" spans="1:9" x14ac:dyDescent="0.3">
      <c r="A34" s="29" t="s">
        <v>43</v>
      </c>
      <c r="B34" s="30">
        <f>SUM(B5:B32)</f>
        <v>2958.47</v>
      </c>
      <c r="D34" s="31">
        <f>MAX(D5:D32)</f>
        <v>14839</v>
      </c>
      <c r="G34" s="32">
        <f>IFERROR(MAX(G5:G32),"")</f>
        <v>14.839</v>
      </c>
      <c r="I34" s="33">
        <f>IFERROR(AVERAGE(I5:I32),"")</f>
        <v>10.396630018786945</v>
      </c>
    </row>
    <row r="35" spans="1:9" x14ac:dyDescent="0.3">
      <c r="A35" s="34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45</v>
      </c>
    </row>
    <row r="3" spans="1:2" ht="30" customHeight="1" x14ac:dyDescent="0.3">
      <c r="A3" s="36" t="s">
        <v>46</v>
      </c>
      <c r="B3" s="37" t="s">
        <v>47</v>
      </c>
    </row>
    <row r="4" spans="1:2" ht="30" customHeight="1" x14ac:dyDescent="0.3">
      <c r="A4" s="36" t="s">
        <v>48</v>
      </c>
      <c r="B4" s="37" t="s">
        <v>49</v>
      </c>
    </row>
    <row r="5" spans="1:2" ht="30" customHeight="1" x14ac:dyDescent="0.3">
      <c r="A5" s="36" t="s">
        <v>50</v>
      </c>
      <c r="B5" s="37" t="s">
        <v>51</v>
      </c>
    </row>
    <row r="6" spans="1:2" ht="30" customHeight="1" x14ac:dyDescent="0.3">
      <c r="A6" s="36" t="s">
        <v>52</v>
      </c>
      <c r="B6" s="37" t="s">
        <v>53</v>
      </c>
    </row>
    <row r="7" spans="1:2" ht="30" customHeight="1" x14ac:dyDescent="0.3">
      <c r="A7" s="36" t="s">
        <v>54</v>
      </c>
      <c r="B7" s="37" t="s">
        <v>55</v>
      </c>
    </row>
    <row r="8" spans="1:2" ht="30" customHeight="1" x14ac:dyDescent="0.3">
      <c r="A8" s="36" t="s">
        <v>56</v>
      </c>
      <c r="B8" s="37" t="s">
        <v>57</v>
      </c>
    </row>
    <row r="9" spans="1:2" ht="30" customHeight="1" x14ac:dyDescent="0.3">
      <c r="A9" s="36" t="s">
        <v>58</v>
      </c>
      <c r="B9" s="37" t="s">
        <v>59</v>
      </c>
    </row>
    <row r="10" spans="1:2" ht="30" customHeight="1" x14ac:dyDescent="0.3">
      <c r="A10" s="36" t="s">
        <v>60</v>
      </c>
      <c r="B10" s="37" t="s">
        <v>61</v>
      </c>
    </row>
    <row r="11" spans="1:2" ht="30" customHeight="1" x14ac:dyDescent="0.3">
      <c r="A11" s="36" t="s">
        <v>62</v>
      </c>
      <c r="B11" s="37" t="s">
        <v>63</v>
      </c>
    </row>
    <row r="12" spans="1:2" ht="30" customHeight="1" x14ac:dyDescent="0.3">
      <c r="A12" s="36" t="s">
        <v>64</v>
      </c>
      <c r="B12" s="37" t="s">
        <v>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2026-09-15T20:32:58Z</dcterms:created>
  <dcterms:modified xsi:type="dcterms:W3CDTF">2026-09-15T20:33:53Z</dcterms:modified>
</cp:coreProperties>
</file>