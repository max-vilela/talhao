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9593145D-7C2C-4F7A-813B-3E4CC34F48F0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<sst xmlns="http://schemas.openxmlformats.org/spreadsheetml/2006/main" count="75" uniqueCount="75">
  <si>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</si>
  <si>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</si>
  <si>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</si>
  <si>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</si>
  <si>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</si>
  <si>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</si>
  <si>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</si>
  <si>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</si>
  <si>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</si>
  <si>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</si>
  <si>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</si>
  <si>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</si>
  <si>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T-27</t>
  </si>
  <si>
    <t>T-28</t>
  </si>
  <si>
    <t>T-31B</t>
  </si>
  <si>
    <t>T-31A</t>
  </si>
  <si>
    <t>T-30B</t>
  </si>
  <si>
    <t>T-30A</t>
  </si>
  <si>
    <t>T-32</t>
  </si>
  <si>
    <t>T-01</t>
  </si>
  <si>
    <t>T-32A</t>
  </si>
  <si>
    <t>T-08</t>
  </si>
  <si>
    <t>T-02</t>
  </si>
  <si>
    <t>T-07</t>
  </si>
  <si>
    <t>T-29A</t>
  </si>
  <si>
    <t>T-30C</t>
  </si>
  <si>
    <t>T-29 C</t>
  </si>
  <si>
    <t>T-03</t>
  </si>
  <si>
    <t>T-06</t>
  </si>
  <si>
    <t>T-29B</t>
  </si>
  <si>
    <t>T-04</t>
  </si>
  <si>
    <t>T-05</t>
  </si>
  <si>
    <t>T-12</t>
  </si>
  <si>
    <t>T-13</t>
  </si>
  <si>
    <t>T-23</t>
  </si>
  <si>
    <t>T-24</t>
  </si>
  <si>
    <t>T-25</t>
  </si>
  <si>
    <t>T-26A</t>
  </si>
  <si>
    <t>T-10</t>
  </si>
  <si>
    <t>T-11</t>
  </si>
  <si>
    <t>T-26</t>
  </si>
  <si>
    <t>T-09</t>
  </si>
  <si>
    <t>T-14</t>
  </si>
  <si>
    <t>T-22</t>
  </si>
  <si>
    <t>T-15</t>
  </si>
  <si>
    <t>T-19</t>
  </si>
  <si>
    <t>T-18</t>
  </si>
  <si>
    <t>T-20</t>
  </si>
  <si>
    <t>T-16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</si>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</sst>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248.35</v>
      </c>
      <c r="C5" s="6">
        <v>7351</v>
      </c>
      <c r="D5" s="7">
        <v>17740</v>
      </c>
      <c r="E5" s="7">
        <v>8293</v>
      </c>
      <c r="F5" s="7">
        <v>4648</v>
      </c>
      <c r="G5" s="8">
        <f t="shared" ref="G5:G44" si="0">D5/1000</f>
        <v>17.739999999999998</v>
      </c>
      <c r="H5" s="8">
        <f t="shared" ref="H5:H44" si="1">E5/1000</f>
        <v>8.2929999999999993</v>
      </c>
      <c r="I5" s="9">
        <f t="shared" ref="I5:I44" si="2">IFERROR(D5/F5,"")</f>
        <v>3.8166953528399312</v>
      </c>
      <c r="J5" s="10"/>
    </row>
    <row r="6" spans="1:10" x14ac:dyDescent="0.3">
      <c r="A6" s="4" t="s">
        <v>13</v>
      </c>
      <c r="B6" s="5">
        <v>181.92</v>
      </c>
      <c r="C6" s="6">
        <v>6154</v>
      </c>
      <c r="D6" s="7">
        <v>17335</v>
      </c>
      <c r="E6" s="7">
        <v>9334</v>
      </c>
      <c r="F6" s="7">
        <v>5748</v>
      </c>
      <c r="G6" s="8">
        <f t="shared" si="0"/>
        <v>17.335000000000001</v>
      </c>
      <c r="H6" s="8">
        <f t="shared" si="1"/>
        <v>9.3339999999999996</v>
      </c>
      <c r="I6" s="9">
        <f t="shared" si="2"/>
        <v>3.0158315935977731</v>
      </c>
      <c r="J6" s="10"/>
    </row>
    <row r="7" spans="1:10" x14ac:dyDescent="0.3">
      <c r="A7" s="4" t="s">
        <v>14</v>
      </c>
      <c r="B7" s="5">
        <v>89.83</v>
      </c>
      <c r="C7" s="6">
        <v>4143</v>
      </c>
      <c r="D7" s="7">
        <v>17293</v>
      </c>
      <c r="E7" s="7">
        <v>8295</v>
      </c>
      <c r="F7" s="7">
        <v>3986</v>
      </c>
      <c r="G7" s="8">
        <f t="shared" si="0"/>
        <v>17.292999999999999</v>
      </c>
      <c r="H7" s="8">
        <f t="shared" si="1"/>
        <v>8.2949999999999999</v>
      </c>
      <c r="I7" s="9">
        <f t="shared" si="2"/>
        <v>4.3384345208228803</v>
      </c>
      <c r="J7" s="10"/>
    </row>
    <row r="8" spans="1:10" x14ac:dyDescent="0.3">
      <c r="A8" s="4" t="s">
        <v>15</v>
      </c>
      <c r="B8" s="5">
        <v>132.85</v>
      </c>
      <c r="C8" s="6">
        <v>5047</v>
      </c>
      <c r="D8" s="7">
        <v>17285</v>
      </c>
      <c r="E8" s="7">
        <v>13744</v>
      </c>
      <c r="F8" s="7">
        <v>4795</v>
      </c>
      <c r="G8" s="8">
        <f t="shared" si="0"/>
        <v>17.285</v>
      </c>
      <c r="H8" s="8">
        <f t="shared" si="1"/>
        <v>13.744</v>
      </c>
      <c r="I8" s="9">
        <f t="shared" si="2"/>
        <v>3.6047966631908239</v>
      </c>
      <c r="J8" s="10"/>
    </row>
    <row r="9" spans="1:10" x14ac:dyDescent="0.3">
      <c r="A9" s="4" t="s">
        <v>16</v>
      </c>
      <c r="B9" s="5">
        <v>129.79</v>
      </c>
      <c r="C9" s="6">
        <v>4831</v>
      </c>
      <c r="D9" s="7">
        <v>17169</v>
      </c>
      <c r="E9" s="7">
        <v>7252</v>
      </c>
      <c r="F9" s="7">
        <v>3323</v>
      </c>
      <c r="G9" s="8">
        <f t="shared" si="0"/>
        <v>17.169</v>
      </c>
      <c r="H9" s="8">
        <f t="shared" si="1"/>
        <v>7.2519999999999998</v>
      </c>
      <c r="I9" s="9">
        <f t="shared" si="2"/>
        <v>5.1667168221486612</v>
      </c>
      <c r="J9" s="10"/>
    </row>
    <row r="10" spans="1:10" x14ac:dyDescent="0.3">
      <c r="A10" s="4" t="s">
        <v>17</v>
      </c>
      <c r="B10" s="5">
        <v>101.07</v>
      </c>
      <c r="C10" s="6">
        <v>4286</v>
      </c>
      <c r="D10" s="7">
        <v>16690</v>
      </c>
      <c r="E10" s="7">
        <v>10435</v>
      </c>
      <c r="F10" s="7">
        <v>4476</v>
      </c>
      <c r="G10" s="8">
        <f t="shared" si="0"/>
        <v>16.690000000000001</v>
      </c>
      <c r="H10" s="8">
        <f t="shared" si="1"/>
        <v>10.435</v>
      </c>
      <c r="I10" s="9">
        <f t="shared" si="2"/>
        <v>3.7287756925826629</v>
      </c>
      <c r="J10" s="10"/>
    </row>
    <row r="11" spans="1:10" x14ac:dyDescent="0.3">
      <c r="A11" s="4" t="s">
        <v>18</v>
      </c>
      <c r="B11" s="5">
        <v>138.68</v>
      </c>
      <c r="C11" s="6">
        <v>5245</v>
      </c>
      <c r="D11" s="7">
        <v>15734</v>
      </c>
      <c r="E11" s="7">
        <v>9304</v>
      </c>
      <c r="F11" s="7">
        <v>4871</v>
      </c>
      <c r="G11" s="8">
        <f t="shared" si="0"/>
        <v>15.734</v>
      </c>
      <c r="H11" s="8">
        <f t="shared" si="1"/>
        <v>9.3040000000000003</v>
      </c>
      <c r="I11" s="9">
        <f t="shared" si="2"/>
        <v>3.2301375487579551</v>
      </c>
      <c r="J11" s="10"/>
    </row>
    <row r="12" spans="1:10" x14ac:dyDescent="0.3">
      <c r="A12" s="11" t="s">
        <v>19</v>
      </c>
      <c r="B12" s="12">
        <v>217.12</v>
      </c>
      <c r="C12" s="13">
        <v>6055</v>
      </c>
      <c r="D12" s="14">
        <v>15117</v>
      </c>
      <c r="E12" s="14">
        <v>11274</v>
      </c>
      <c r="F12" s="14">
        <v>7665</v>
      </c>
      <c r="G12" s="15">
        <f t="shared" si="0"/>
        <v>15.117000000000001</v>
      </c>
      <c r="H12" s="15">
        <f t="shared" si="1"/>
        <v>11.273999999999999</v>
      </c>
      <c r="I12" s="16">
        <f t="shared" si="2"/>
        <v>1.9722113502935421</v>
      </c>
      <c r="J12" s="17"/>
    </row>
    <row r="13" spans="1:10" x14ac:dyDescent="0.3">
      <c r="A13" s="18" t="s">
        <v>20</v>
      </c>
      <c r="B13" s="19">
        <v>83.99</v>
      </c>
      <c r="C13" s="20">
        <v>4543</v>
      </c>
      <c r="D13" s="21">
        <v>15090</v>
      </c>
      <c r="E13" s="21">
        <v>11386</v>
      </c>
      <c r="F13" s="21">
        <v>6182</v>
      </c>
      <c r="G13" s="22">
        <f t="shared" si="0"/>
        <v>15.09</v>
      </c>
      <c r="H13" s="22">
        <f t="shared" si="1"/>
        <v>11.385999999999999</v>
      </c>
      <c r="I13" s="23">
        <f t="shared" si="2"/>
        <v>2.4409576188935618</v>
      </c>
      <c r="J13" s="24"/>
    </row>
    <row r="14" spans="1:10" x14ac:dyDescent="0.3">
      <c r="A14" s="11" t="s">
        <v>21</v>
      </c>
      <c r="B14" s="12">
        <v>128.52000000000001</v>
      </c>
      <c r="C14" s="13">
        <v>5847</v>
      </c>
      <c r="D14" s="14">
        <v>14943</v>
      </c>
      <c r="E14" s="14">
        <v>7812</v>
      </c>
      <c r="F14" s="14">
        <v>6977</v>
      </c>
      <c r="G14" s="15">
        <f t="shared" si="0"/>
        <v>14.943</v>
      </c>
      <c r="H14" s="15">
        <f t="shared" si="1"/>
        <v>7.8120000000000003</v>
      </c>
      <c r="I14" s="16">
        <f t="shared" si="2"/>
        <v>2.141751469112799</v>
      </c>
      <c r="J14" s="17"/>
    </row>
    <row r="15" spans="1:10" x14ac:dyDescent="0.3">
      <c r="A15" s="18" t="s">
        <v>22</v>
      </c>
      <c r="B15" s="19">
        <v>216.07</v>
      </c>
      <c r="C15" s="20">
        <v>5881</v>
      </c>
      <c r="D15" s="21">
        <v>14436</v>
      </c>
      <c r="E15" s="21">
        <v>7752</v>
      </c>
      <c r="F15" s="21">
        <v>6496</v>
      </c>
      <c r="G15" s="22">
        <f t="shared" si="0"/>
        <v>14.436</v>
      </c>
      <c r="H15" s="22">
        <f t="shared" si="1"/>
        <v>7.7519999999999998</v>
      </c>
      <c r="I15" s="23">
        <f t="shared" si="2"/>
        <v>2.2222906403940885</v>
      </c>
      <c r="J15" s="24"/>
    </row>
    <row r="16" spans="1:10" x14ac:dyDescent="0.3">
      <c r="A16" s="11" t="s">
        <v>23</v>
      </c>
      <c r="B16" s="12">
        <v>214</v>
      </c>
      <c r="C16" s="13">
        <v>5853</v>
      </c>
      <c r="D16" s="14">
        <v>14436</v>
      </c>
      <c r="E16" s="14">
        <v>6369</v>
      </c>
      <c r="F16" s="14">
        <v>5666</v>
      </c>
      <c r="G16" s="15">
        <f t="shared" si="0"/>
        <v>14.436</v>
      </c>
      <c r="H16" s="15">
        <f t="shared" si="1"/>
        <v>6.3689999999999998</v>
      </c>
      <c r="I16" s="16">
        <f t="shared" si="2"/>
        <v>2.5478291563713378</v>
      </c>
      <c r="J16" s="17"/>
    </row>
    <row r="17" spans="1:10" x14ac:dyDescent="0.3">
      <c r="A17" s="4" t="s">
        <v>24</v>
      </c>
      <c r="B17" s="5">
        <v>158.57</v>
      </c>
      <c r="C17" s="6">
        <v>5634</v>
      </c>
      <c r="D17" s="7">
        <v>12738</v>
      </c>
      <c r="E17" s="7">
        <v>7311</v>
      </c>
      <c r="F17" s="7">
        <v>3705</v>
      </c>
      <c r="G17" s="8">
        <f t="shared" si="0"/>
        <v>12.738</v>
      </c>
      <c r="H17" s="8">
        <f t="shared" si="1"/>
        <v>7.3109999999999999</v>
      </c>
      <c r="I17" s="9">
        <f t="shared" si="2"/>
        <v>3.4380566801619432</v>
      </c>
      <c r="J17" s="10"/>
    </row>
    <row r="18" spans="1:10" x14ac:dyDescent="0.3">
      <c r="A18" s="4" t="s">
        <v>25</v>
      </c>
      <c r="B18" s="5">
        <v>53.2</v>
      </c>
      <c r="C18" s="6">
        <v>3095</v>
      </c>
      <c r="D18" s="7">
        <v>12162</v>
      </c>
      <c r="E18" s="7">
        <v>7250</v>
      </c>
      <c r="F18" s="7">
        <v>3321</v>
      </c>
      <c r="G18" s="8">
        <f t="shared" si="0"/>
        <v>12.162000000000001</v>
      </c>
      <c r="H18" s="8">
        <f t="shared" si="1"/>
        <v>7.25</v>
      </c>
      <c r="I18" s="9">
        <f t="shared" si="2"/>
        <v>3.6621499548328815</v>
      </c>
      <c r="J18" s="10"/>
    </row>
    <row r="19" spans="1:10" x14ac:dyDescent="0.3">
      <c r="A19" s="4" t="s">
        <v>26</v>
      </c>
      <c r="B19" s="5">
        <v>23</v>
      </c>
      <c r="C19" s="6">
        <v>3375</v>
      </c>
      <c r="D19" s="7">
        <v>12115</v>
      </c>
      <c r="E19" s="7">
        <v>5852</v>
      </c>
      <c r="F19" s="7">
        <v>2251</v>
      </c>
      <c r="G19" s="8">
        <f t="shared" si="0"/>
        <v>12.115</v>
      </c>
      <c r="H19" s="8">
        <f t="shared" si="1"/>
        <v>5.8520000000000003</v>
      </c>
      <c r="I19" s="9">
        <f t="shared" si="2"/>
        <v>5.3820524211461569</v>
      </c>
      <c r="J19" s="10"/>
    </row>
    <row r="20" spans="1:10" x14ac:dyDescent="0.3">
      <c r="A20" s="11" t="s">
        <v>27</v>
      </c>
      <c r="B20" s="12">
        <v>215.16</v>
      </c>
      <c r="C20" s="13">
        <v>5870</v>
      </c>
      <c r="D20" s="14">
        <v>11957</v>
      </c>
      <c r="E20" s="14">
        <v>7752</v>
      </c>
      <c r="F20" s="14">
        <v>5463</v>
      </c>
      <c r="G20" s="15">
        <f t="shared" si="0"/>
        <v>11.957000000000001</v>
      </c>
      <c r="H20" s="15">
        <f t="shared" si="1"/>
        <v>7.7519999999999998</v>
      </c>
      <c r="I20" s="16">
        <f t="shared" si="2"/>
        <v>2.18872414424309</v>
      </c>
      <c r="J20" s="17"/>
    </row>
    <row r="21" spans="1:10" x14ac:dyDescent="0.3">
      <c r="A21" s="18" t="s">
        <v>28</v>
      </c>
      <c r="B21" s="19">
        <v>211.14</v>
      </c>
      <c r="C21" s="20">
        <v>5814</v>
      </c>
      <c r="D21" s="21">
        <v>11957</v>
      </c>
      <c r="E21" s="21">
        <v>4952</v>
      </c>
      <c r="F21" s="21">
        <v>4461</v>
      </c>
      <c r="G21" s="22">
        <f t="shared" si="0"/>
        <v>11.957000000000001</v>
      </c>
      <c r="H21" s="22">
        <f t="shared" si="1"/>
        <v>4.952</v>
      </c>
      <c r="I21" s="23">
        <f t="shared" si="2"/>
        <v>2.6803407307778526</v>
      </c>
      <c r="J21" s="24"/>
    </row>
    <row r="22" spans="1:10" x14ac:dyDescent="0.3">
      <c r="A22" s="4" t="s">
        <v>29</v>
      </c>
      <c r="B22" s="5">
        <v>115.08</v>
      </c>
      <c r="C22" s="6">
        <v>5656</v>
      </c>
      <c r="D22" s="7">
        <v>11756</v>
      </c>
      <c r="E22" s="7">
        <v>5852</v>
      </c>
      <c r="F22" s="7">
        <v>2262</v>
      </c>
      <c r="G22" s="8">
        <f t="shared" si="0"/>
        <v>11.756</v>
      </c>
      <c r="H22" s="8">
        <f t="shared" si="1"/>
        <v>5.8520000000000003</v>
      </c>
      <c r="I22" s="9">
        <f t="shared" si="2"/>
        <v>5.1971706454465076</v>
      </c>
      <c r="J22" s="10"/>
    </row>
    <row r="23" spans="1:10" x14ac:dyDescent="0.3">
      <c r="A23" s="18" t="s">
        <v>30</v>
      </c>
      <c r="B23" s="19">
        <v>222.45</v>
      </c>
      <c r="C23" s="20">
        <v>5898</v>
      </c>
      <c r="D23" s="21">
        <v>11456</v>
      </c>
      <c r="E23" s="21">
        <v>6283</v>
      </c>
      <c r="F23" s="21">
        <v>4632</v>
      </c>
      <c r="G23" s="22">
        <f t="shared" si="0"/>
        <v>11.456</v>
      </c>
      <c r="H23" s="22">
        <f t="shared" si="1"/>
        <v>6.2830000000000004</v>
      </c>
      <c r="I23" s="23">
        <f t="shared" si="2"/>
        <v>2.4732297063903284</v>
      </c>
      <c r="J23" s="24"/>
    </row>
    <row r="24" spans="1:10" x14ac:dyDescent="0.3">
      <c r="A24" s="4" t="s">
        <v>31</v>
      </c>
      <c r="B24" s="5">
        <v>176.55</v>
      </c>
      <c r="C24" s="6">
        <v>7594</v>
      </c>
      <c r="D24" s="7">
        <v>11456</v>
      </c>
      <c r="E24" s="7">
        <v>3820</v>
      </c>
      <c r="F24" s="7">
        <v>3538</v>
      </c>
      <c r="G24" s="8">
        <f t="shared" si="0"/>
        <v>11.456</v>
      </c>
      <c r="H24" s="8">
        <f t="shared" si="1"/>
        <v>3.82</v>
      </c>
      <c r="I24" s="9">
        <f t="shared" si="2"/>
        <v>3.2379875635952517</v>
      </c>
      <c r="J24" s="10"/>
    </row>
    <row r="25" spans="1:10" x14ac:dyDescent="0.3">
      <c r="A25" s="4" t="s">
        <v>32</v>
      </c>
      <c r="B25" s="5">
        <v>196.2</v>
      </c>
      <c r="C25" s="6">
        <v>5516</v>
      </c>
      <c r="D25" s="7">
        <v>11418</v>
      </c>
      <c r="E25" s="7">
        <v>4297</v>
      </c>
      <c r="F25" s="7">
        <v>3785</v>
      </c>
      <c r="G25" s="8">
        <f t="shared" si="0"/>
        <v>11.417999999999999</v>
      </c>
      <c r="H25" s="8">
        <f t="shared" si="1"/>
        <v>4.2969999999999997</v>
      </c>
      <c r="I25" s="9">
        <f t="shared" si="2"/>
        <v>3.0166446499339497</v>
      </c>
      <c r="J25" s="10"/>
    </row>
    <row r="26" spans="1:10" x14ac:dyDescent="0.3">
      <c r="A26" s="11" t="s">
        <v>33</v>
      </c>
      <c r="B26" s="12">
        <v>198.71</v>
      </c>
      <c r="C26" s="13">
        <v>5502</v>
      </c>
      <c r="D26" s="14">
        <v>11247</v>
      </c>
      <c r="E26" s="14">
        <v>5920</v>
      </c>
      <c r="F26" s="14">
        <v>4181</v>
      </c>
      <c r="G26" s="15">
        <f t="shared" si="0"/>
        <v>11.247</v>
      </c>
      <c r="H26" s="15">
        <f t="shared" si="1"/>
        <v>5.92</v>
      </c>
      <c r="I26" s="16">
        <f t="shared" si="2"/>
        <v>2.6900263094953361</v>
      </c>
      <c r="J26" s="17"/>
    </row>
    <row r="27" spans="1:10" x14ac:dyDescent="0.3">
      <c r="A27" s="4" t="s">
        <v>34</v>
      </c>
      <c r="B27" s="5">
        <v>249.78</v>
      </c>
      <c r="C27" s="6">
        <v>6425</v>
      </c>
      <c r="D27" s="7">
        <v>10250</v>
      </c>
      <c r="E27" s="7">
        <v>2549</v>
      </c>
      <c r="F27" s="7">
        <v>1605</v>
      </c>
      <c r="G27" s="8">
        <f t="shared" si="0"/>
        <v>10.25</v>
      </c>
      <c r="H27" s="8">
        <f t="shared" si="1"/>
        <v>2.5489999999999999</v>
      </c>
      <c r="I27" s="9">
        <f t="shared" si="2"/>
        <v>6.3862928348909653</v>
      </c>
      <c r="J27" s="10"/>
    </row>
    <row r="28" spans="1:10" x14ac:dyDescent="0.3">
      <c r="A28" s="4" t="s">
        <v>35</v>
      </c>
      <c r="B28" s="5">
        <v>313.18</v>
      </c>
      <c r="C28" s="6">
        <v>7098</v>
      </c>
      <c r="D28" s="7">
        <v>10250</v>
      </c>
      <c r="E28" s="7">
        <v>4024</v>
      </c>
      <c r="F28" s="7">
        <v>2810</v>
      </c>
      <c r="G28" s="8">
        <f t="shared" si="0"/>
        <v>10.25</v>
      </c>
      <c r="H28" s="8">
        <f t="shared" si="1"/>
        <v>4.024</v>
      </c>
      <c r="I28" s="9">
        <f t="shared" si="2"/>
        <v>3.6476868327402134</v>
      </c>
      <c r="J28" s="10"/>
    </row>
    <row r="29" spans="1:10" x14ac:dyDescent="0.3">
      <c r="A29" s="4" t="s">
        <v>36</v>
      </c>
      <c r="B29" s="5">
        <v>128.41999999999999</v>
      </c>
      <c r="C29" s="6">
        <v>6551</v>
      </c>
      <c r="D29" s="7">
        <v>10091</v>
      </c>
      <c r="E29" s="7">
        <v>4029</v>
      </c>
      <c r="F29" s="7">
        <v>2542</v>
      </c>
      <c r="G29" s="8">
        <f t="shared" si="0"/>
        <v>10.090999999999999</v>
      </c>
      <c r="H29" s="8">
        <f t="shared" si="1"/>
        <v>4.0289999999999999</v>
      </c>
      <c r="I29" s="9">
        <f t="shared" si="2"/>
        <v>3.9697088906372935</v>
      </c>
      <c r="J29" s="10"/>
    </row>
    <row r="30" spans="1:10" x14ac:dyDescent="0.3">
      <c r="A30" s="4" t="s">
        <v>37</v>
      </c>
      <c r="B30" s="5">
        <v>127.51</v>
      </c>
      <c r="C30" s="6">
        <v>5515</v>
      </c>
      <c r="D30" s="7">
        <v>10040</v>
      </c>
      <c r="E30" s="7">
        <v>7341</v>
      </c>
      <c r="F30" s="7">
        <v>2671</v>
      </c>
      <c r="G30" s="8">
        <f t="shared" si="0"/>
        <v>10.039999999999999</v>
      </c>
      <c r="H30" s="8">
        <f t="shared" si="1"/>
        <v>7.3410000000000002</v>
      </c>
      <c r="I30" s="9">
        <f t="shared" si="2"/>
        <v>3.7588918008236614</v>
      </c>
      <c r="J30" s="10"/>
    </row>
    <row r="31" spans="1:10" x14ac:dyDescent="0.3">
      <c r="A31" s="18" t="s">
        <v>38</v>
      </c>
      <c r="B31" s="19">
        <v>225.86</v>
      </c>
      <c r="C31" s="20">
        <v>6836</v>
      </c>
      <c r="D31" s="21">
        <v>9146</v>
      </c>
      <c r="E31" s="21">
        <v>4371</v>
      </c>
      <c r="F31" s="21">
        <v>3960</v>
      </c>
      <c r="G31" s="22">
        <f t="shared" si="0"/>
        <v>9.1460000000000008</v>
      </c>
      <c r="H31" s="22">
        <f t="shared" si="1"/>
        <v>4.3710000000000004</v>
      </c>
      <c r="I31" s="23">
        <f t="shared" si="2"/>
        <v>2.3095959595959594</v>
      </c>
      <c r="J31" s="24"/>
    </row>
    <row r="32" spans="1:10" x14ac:dyDescent="0.3">
      <c r="A32" s="4" t="s">
        <v>39</v>
      </c>
      <c r="B32" s="5">
        <v>303.27</v>
      </c>
      <c r="C32" s="6">
        <v>7420</v>
      </c>
      <c r="D32" s="7">
        <v>9146</v>
      </c>
      <c r="E32" s="7">
        <v>3207</v>
      </c>
      <c r="F32" s="7">
        <v>2827</v>
      </c>
      <c r="G32" s="8">
        <f t="shared" si="0"/>
        <v>9.1460000000000008</v>
      </c>
      <c r="H32" s="8">
        <f t="shared" si="1"/>
        <v>3.2069999999999999</v>
      </c>
      <c r="I32" s="9">
        <f t="shared" si="2"/>
        <v>3.2352316943756634</v>
      </c>
      <c r="J32" s="10"/>
    </row>
    <row r="33" spans="1:10" x14ac:dyDescent="0.3">
      <c r="A33" s="4" t="s">
        <v>40</v>
      </c>
      <c r="B33" s="5">
        <v>147.1</v>
      </c>
      <c r="C33" s="6">
        <v>5457</v>
      </c>
      <c r="D33" s="7">
        <v>9140</v>
      </c>
      <c r="E33" s="7">
        <v>5521</v>
      </c>
      <c r="F33" s="7">
        <v>1631</v>
      </c>
      <c r="G33" s="8">
        <f t="shared" si="0"/>
        <v>9.14</v>
      </c>
      <c r="H33" s="8">
        <f t="shared" si="1"/>
        <v>5.5209999999999999</v>
      </c>
      <c r="I33" s="9">
        <f t="shared" si="2"/>
        <v>5.6039239730226855</v>
      </c>
      <c r="J33" s="10"/>
    </row>
    <row r="34" spans="1:10" x14ac:dyDescent="0.3">
      <c r="A34" s="11" t="s">
        <v>41</v>
      </c>
      <c r="B34" s="12">
        <v>136.16</v>
      </c>
      <c r="C34" s="13">
        <v>5252</v>
      </c>
      <c r="D34" s="14">
        <v>9022</v>
      </c>
      <c r="E34" s="14">
        <v>5809</v>
      </c>
      <c r="F34" s="14">
        <v>5369</v>
      </c>
      <c r="G34" s="15">
        <f t="shared" si="0"/>
        <v>9.0220000000000002</v>
      </c>
      <c r="H34" s="15">
        <f t="shared" si="1"/>
        <v>5.8090000000000002</v>
      </c>
      <c r="I34" s="16">
        <f t="shared" si="2"/>
        <v>1.6803874092009685</v>
      </c>
      <c r="J34" s="17"/>
    </row>
    <row r="35" spans="1:10" x14ac:dyDescent="0.3">
      <c r="A35" s="18" t="s">
        <v>42</v>
      </c>
      <c r="B35" s="19">
        <v>180.97</v>
      </c>
      <c r="C35" s="20">
        <v>5840</v>
      </c>
      <c r="D35" s="21">
        <v>6962</v>
      </c>
      <c r="E35" s="21">
        <v>4337</v>
      </c>
      <c r="F35" s="21">
        <v>3349</v>
      </c>
      <c r="G35" s="22">
        <f t="shared" si="0"/>
        <v>6.9619999999999997</v>
      </c>
      <c r="H35" s="22">
        <f t="shared" si="1"/>
        <v>4.3369999999999997</v>
      </c>
      <c r="I35" s="23">
        <f t="shared" si="2"/>
        <v>2.0788295013436846</v>
      </c>
      <c r="J35" s="24"/>
    </row>
    <row r="36" spans="1:10" x14ac:dyDescent="0.3">
      <c r="A36" s="4" t="s">
        <v>43</v>
      </c>
      <c r="B36" s="5">
        <v>268.29000000000002</v>
      </c>
      <c r="C36" s="6">
        <v>6666</v>
      </c>
      <c r="D36" s="7">
        <v>6786</v>
      </c>
      <c r="E36" s="7">
        <v>1012</v>
      </c>
      <c r="F36" s="7">
        <v>954</v>
      </c>
      <c r="G36" s="8">
        <f t="shared" si="0"/>
        <v>6.7859999999999996</v>
      </c>
      <c r="H36" s="8">
        <f t="shared" si="1"/>
        <v>1.012</v>
      </c>
      <c r="I36" s="9">
        <f t="shared" si="2"/>
        <v>7.1132075471698117</v>
      </c>
      <c r="J36" s="10"/>
    </row>
    <row r="37" spans="1:10" x14ac:dyDescent="0.3">
      <c r="A37" s="18" t="s">
        <v>44</v>
      </c>
      <c r="B37" s="19">
        <v>189.27</v>
      </c>
      <c r="C37" s="20">
        <v>5556</v>
      </c>
      <c r="D37" s="21">
        <v>6420</v>
      </c>
      <c r="E37" s="21">
        <v>3358</v>
      </c>
      <c r="F37" s="21">
        <v>2759</v>
      </c>
      <c r="G37" s="22">
        <f t="shared" si="0"/>
        <v>6.42</v>
      </c>
      <c r="H37" s="22">
        <f t="shared" si="1"/>
        <v>3.3580000000000001</v>
      </c>
      <c r="I37" s="23">
        <f t="shared" si="2"/>
        <v>2.326930047118521</v>
      </c>
      <c r="J37" s="24"/>
    </row>
    <row r="38" spans="1:10" x14ac:dyDescent="0.3">
      <c r="A38" s="11" t="s">
        <v>45</v>
      </c>
      <c r="B38" s="12">
        <v>207.35</v>
      </c>
      <c r="C38" s="13">
        <v>5781</v>
      </c>
      <c r="D38" s="14">
        <v>5718</v>
      </c>
      <c r="E38" s="14">
        <v>2673</v>
      </c>
      <c r="F38" s="14">
        <v>2643</v>
      </c>
      <c r="G38" s="15">
        <f t="shared" si="0"/>
        <v>5.718</v>
      </c>
      <c r="H38" s="15">
        <f t="shared" si="1"/>
        <v>2.673</v>
      </c>
      <c r="I38" s="16">
        <f t="shared" si="2"/>
        <v>2.1634506242905789</v>
      </c>
      <c r="J38" s="17"/>
    </row>
    <row r="39" spans="1:10" x14ac:dyDescent="0.3">
      <c r="A39" s="4" t="s">
        <v>46</v>
      </c>
      <c r="B39" s="5">
        <v>265.83</v>
      </c>
      <c r="C39" s="6">
        <v>6634</v>
      </c>
      <c r="D39" s="7">
        <v>5234</v>
      </c>
      <c r="E39" s="7">
        <v>1256</v>
      </c>
      <c r="F39" s="7">
        <v>1241</v>
      </c>
      <c r="G39" s="8">
        <f t="shared" si="0"/>
        <v>5.234</v>
      </c>
      <c r="H39" s="8">
        <f t="shared" si="1"/>
        <v>1.256</v>
      </c>
      <c r="I39" s="9">
        <f t="shared" si="2"/>
        <v>4.217566478646253</v>
      </c>
      <c r="J39" s="10"/>
    </row>
    <row r="40" spans="1:10" x14ac:dyDescent="0.3">
      <c r="A40" s="4" t="s">
        <v>47</v>
      </c>
      <c r="B40" s="5">
        <v>240.55</v>
      </c>
      <c r="C40" s="6">
        <v>9293</v>
      </c>
      <c r="D40" s="7">
        <v>5163</v>
      </c>
      <c r="E40" s="7">
        <v>1256</v>
      </c>
      <c r="F40" s="7">
        <v>1215</v>
      </c>
      <c r="G40" s="8">
        <f t="shared" si="0"/>
        <v>5.1630000000000003</v>
      </c>
      <c r="H40" s="8">
        <f t="shared" si="1"/>
        <v>1.256</v>
      </c>
      <c r="I40" s="9">
        <f t="shared" si="2"/>
        <v>4.2493827160493831</v>
      </c>
      <c r="J40" s="10"/>
    </row>
    <row r="41" spans="1:10" x14ac:dyDescent="0.3">
      <c r="A41" s="18" t="s">
        <v>48</v>
      </c>
      <c r="B41" s="19">
        <v>113.43</v>
      </c>
      <c r="C41" s="20">
        <v>4317</v>
      </c>
      <c r="D41" s="21">
        <v>5128</v>
      </c>
      <c r="E41" s="21">
        <v>3121</v>
      </c>
      <c r="F41" s="21">
        <v>2713</v>
      </c>
      <c r="G41" s="22">
        <f t="shared" si="0"/>
        <v>5.1280000000000001</v>
      </c>
      <c r="H41" s="22">
        <f t="shared" si="1"/>
        <v>3.121</v>
      </c>
      <c r="I41" s="23">
        <f t="shared" si="2"/>
        <v>1.8901584961297457</v>
      </c>
      <c r="J41" s="24"/>
    </row>
    <row r="42" spans="1:10" x14ac:dyDescent="0.3">
      <c r="A42" s="4" t="s">
        <v>49</v>
      </c>
      <c r="B42" s="5">
        <v>356.7</v>
      </c>
      <c r="C42" s="6">
        <v>10087</v>
      </c>
      <c r="D42" s="7">
        <v>4233</v>
      </c>
      <c r="E42" s="7">
        <v>44</v>
      </c>
      <c r="F42" s="7">
        <v>44</v>
      </c>
      <c r="G42" s="8">
        <f t="shared" si="0"/>
        <v>4.2329999999999997</v>
      </c>
      <c r="H42" s="8">
        <f t="shared" si="1"/>
        <v>4.3999999999999997E-2</v>
      </c>
      <c r="I42" s="9">
        <f t="shared" si="2"/>
        <v>96.204545454545453</v>
      </c>
      <c r="J42" s="10"/>
    </row>
    <row r="43" spans="1:10" x14ac:dyDescent="0.3">
      <c r="A43" s="4" t="s">
        <v>50</v>
      </c>
      <c r="B43" s="5">
        <v>135.82</v>
      </c>
      <c r="C43" s="6">
        <v>5029</v>
      </c>
      <c r="D43" s="7">
        <v>4124</v>
      </c>
      <c r="E43" s="7">
        <v>222</v>
      </c>
      <c r="F43" s="7">
        <v>218</v>
      </c>
      <c r="G43" s="8">
        <f t="shared" si="0"/>
        <v>4.1239999999999997</v>
      </c>
      <c r="H43" s="8">
        <f t="shared" si="1"/>
        <v>0.222</v>
      </c>
      <c r="I43" s="9">
        <f t="shared" si="2"/>
        <v>18.917431192660551</v>
      </c>
      <c r="J43" s="10"/>
    </row>
    <row r="44" spans="1:10" x14ac:dyDescent="0.3">
      <c r="A44" s="4" t="s">
        <v>51</v>
      </c>
      <c r="B44" s="5">
        <v>27.2</v>
      </c>
      <c r="C44" s="6">
        <v>2922</v>
      </c>
      <c r="D44" s="7">
        <v>2151</v>
      </c>
      <c r="E44" s="7">
        <v>62</v>
      </c>
      <c r="F44" s="7">
        <v>61</v>
      </c>
      <c r="G44" s="8">
        <f t="shared" si="0"/>
        <v>2.1509999999999998</v>
      </c>
      <c r="H44" s="8">
        <f t="shared" si="1"/>
        <v>6.2E-2</v>
      </c>
      <c r="I44" s="9">
        <f t="shared" si="2"/>
        <v>35.26229508196721</v>
      </c>
      <c r="J44" s="10"/>
    </row>
    <row r="46" spans="1:10" x14ac:dyDescent="0.3">
      <c r="A46" s="25" t="s">
        <v>52</v>
      </c>
      <c r="B46" s="26">
        <f>SUM(B5:B44)</f>
        <v>7068.94</v>
      </c>
      <c r="D46" s="27">
        <f>MAX(D5:D44)</f>
        <v>17740</v>
      </c>
      <c r="G46" s="28">
        <f>IFERROR(MAX(G5:G44),"")</f>
        <v>17.739999999999998</v>
      </c>
      <c r="I46" s="29">
        <f>IFERROR(AVERAGE(I5:I44),"")</f>
        <v>6.9302081942559486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2026-09-15T18:16:52Z</dcterms:created>
  <dcterms:modified xsi:type="dcterms:W3CDTF">2026-09-15T18:18:09Z</dcterms:modified>
</cp:coreProperties>
</file>