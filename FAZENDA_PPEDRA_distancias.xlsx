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P.PEDRA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T-05B</t>
        </is>
      </c>
      <c r="B5" s="5" t="n">
        <v>124.34</v>
      </c>
      <c r="C5" s="6" t="n">
        <v>4758</v>
      </c>
      <c r="D5" s="7" t="n">
        <v>13744</v>
      </c>
      <c r="E5" s="7" t="n">
        <v>11376</v>
      </c>
      <c r="F5" s="7" t="n">
        <v>10098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T-17</t>
        </is>
      </c>
      <c r="B6" s="12" t="n">
        <v>140.75</v>
      </c>
      <c r="C6" s="13" t="n">
        <v>5173</v>
      </c>
      <c r="D6" s="14" t="n">
        <v>13118</v>
      </c>
      <c r="E6" s="14" t="n">
        <v>10542</v>
      </c>
      <c r="F6" s="14" t="n">
        <v>9032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T-05A</t>
        </is>
      </c>
      <c r="B7" s="5" t="n">
        <v>175.27</v>
      </c>
      <c r="C7" s="6" t="n">
        <v>5486</v>
      </c>
      <c r="D7" s="7" t="n">
        <v>13106</v>
      </c>
      <c r="E7" s="7" t="n">
        <v>10484</v>
      </c>
      <c r="F7" s="7" t="n">
        <v>9226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T-05S</t>
        </is>
      </c>
      <c r="B8" s="12" t="n">
        <v>71.5</v>
      </c>
      <c r="C8" s="13" t="n">
        <v>4054</v>
      </c>
      <c r="D8" s="14" t="n">
        <v>13102</v>
      </c>
      <c r="E8" s="14" t="n">
        <v>11081</v>
      </c>
      <c r="F8" s="14" t="n">
        <v>9806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T-06B</t>
        </is>
      </c>
      <c r="B9" s="5" t="n">
        <v>144.9</v>
      </c>
      <c r="C9" s="6" t="n">
        <v>4944</v>
      </c>
      <c r="D9" s="7" t="n">
        <v>12547</v>
      </c>
      <c r="E9" s="7" t="n">
        <v>10294</v>
      </c>
      <c r="F9" s="7" t="n">
        <v>9953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T-16B</t>
        </is>
      </c>
      <c r="B10" s="12" t="n">
        <v>66.45999999999999</v>
      </c>
      <c r="C10" s="13" t="n">
        <v>3913</v>
      </c>
      <c r="D10" s="14" t="n">
        <v>12433</v>
      </c>
      <c r="E10" s="14" t="n">
        <v>10707</v>
      </c>
      <c r="F10" s="14" t="n">
        <v>10256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T37</t>
        </is>
      </c>
      <c r="B11" s="5" t="n">
        <v>67.45999999999999</v>
      </c>
      <c r="C11" s="6" t="n">
        <v>3607</v>
      </c>
      <c r="D11" s="7" t="n">
        <v>12072</v>
      </c>
      <c r="E11" s="7" t="n">
        <v>10281</v>
      </c>
      <c r="F11" s="7" t="n">
        <v>8100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T-16A</t>
        </is>
      </c>
      <c r="B12" s="12" t="n">
        <v>56.03</v>
      </c>
      <c r="C12" s="13" t="n">
        <v>3746</v>
      </c>
      <c r="D12" s="14" t="n">
        <v>11982</v>
      </c>
      <c r="E12" s="14" t="n">
        <v>10297</v>
      </c>
      <c r="F12" s="14" t="n">
        <v>9900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T-04</t>
        </is>
      </c>
      <c r="B13" s="5" t="n">
        <v>302.63</v>
      </c>
      <c r="C13" s="6" t="n">
        <v>7372</v>
      </c>
      <c r="D13" s="7" t="n">
        <v>11974</v>
      </c>
      <c r="E13" s="7" t="n">
        <v>8397</v>
      </c>
      <c r="F13" s="7" t="n">
        <v>7210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T33</t>
        </is>
      </c>
      <c r="B14" s="12" t="n">
        <v>149.61</v>
      </c>
      <c r="C14" s="13" t="n">
        <v>5003</v>
      </c>
      <c r="D14" s="14" t="n">
        <v>11744</v>
      </c>
      <c r="E14" s="14" t="n">
        <v>9517</v>
      </c>
      <c r="F14" s="14" t="n">
        <v>7372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T-15C</t>
        </is>
      </c>
      <c r="B15" s="5" t="n">
        <v>136.18</v>
      </c>
      <c r="C15" s="6" t="n">
        <v>4817</v>
      </c>
      <c r="D15" s="7" t="n">
        <v>11598</v>
      </c>
      <c r="E15" s="7" t="n">
        <v>9355</v>
      </c>
      <c r="F15" s="7" t="n">
        <v>8991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T-06A</t>
        </is>
      </c>
      <c r="B16" s="12" t="n">
        <v>132.93</v>
      </c>
      <c r="C16" s="13" t="n">
        <v>4758</v>
      </c>
      <c r="D16" s="14" t="n">
        <v>11549</v>
      </c>
      <c r="E16" s="14" t="n">
        <v>9342</v>
      </c>
      <c r="F16" s="14" t="n">
        <v>9006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T-24</t>
        </is>
      </c>
      <c r="B17" s="5" t="n">
        <v>83.31999999999999</v>
      </c>
      <c r="C17" s="6" t="n">
        <v>3691</v>
      </c>
      <c r="D17" s="7" t="n">
        <v>11443</v>
      </c>
      <c r="E17" s="7" t="n">
        <v>9772</v>
      </c>
      <c r="F17" s="7" t="n">
        <v>7315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T38</t>
        </is>
      </c>
      <c r="B18" s="12" t="n">
        <v>140.69</v>
      </c>
      <c r="C18" s="13" t="n">
        <v>4981</v>
      </c>
      <c r="D18" s="14" t="n">
        <v>11356</v>
      </c>
      <c r="E18" s="14" t="n">
        <v>8884</v>
      </c>
      <c r="F18" s="14" t="n">
        <v>6809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T-18</t>
        </is>
      </c>
      <c r="B19" s="5" t="n">
        <v>115.23</v>
      </c>
      <c r="C19" s="6" t="n">
        <v>4528</v>
      </c>
      <c r="D19" s="7" t="n">
        <v>10706</v>
      </c>
      <c r="E19" s="7" t="n">
        <v>8455</v>
      </c>
      <c r="F19" s="7" t="n">
        <v>6961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T-07B</t>
        </is>
      </c>
      <c r="B20" s="12" t="n">
        <v>53.96</v>
      </c>
      <c r="C20" s="13" t="n">
        <v>3674</v>
      </c>
      <c r="D20" s="14" t="n">
        <v>10628</v>
      </c>
      <c r="E20" s="14" t="n">
        <v>8967</v>
      </c>
      <c r="F20" s="14" t="n">
        <v>8626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T34</t>
        </is>
      </c>
      <c r="B21" s="5" t="n">
        <v>131.51</v>
      </c>
      <c r="C21" s="6" t="n">
        <v>4710</v>
      </c>
      <c r="D21" s="7" t="n">
        <v>10530</v>
      </c>
      <c r="E21" s="7" t="n">
        <v>8172</v>
      </c>
      <c r="F21" s="7" t="n">
        <v>6345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T-07A</t>
        </is>
      </c>
      <c r="B22" s="12" t="n">
        <v>254.67</v>
      </c>
      <c r="C22" s="13" t="n">
        <v>6809</v>
      </c>
      <c r="D22" s="14" t="n">
        <v>10260</v>
      </c>
      <c r="E22" s="14" t="n">
        <v>7258</v>
      </c>
      <c r="F22" s="14" t="n">
        <v>6925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T-15B</t>
        </is>
      </c>
      <c r="B23" s="5" t="n">
        <v>80.43000000000001</v>
      </c>
      <c r="C23" s="6" t="n">
        <v>4103</v>
      </c>
      <c r="D23" s="7" t="n">
        <v>10258</v>
      </c>
      <c r="E23" s="7" t="n">
        <v>8464</v>
      </c>
      <c r="F23" s="7" t="n">
        <v>7999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T-19</t>
        </is>
      </c>
      <c r="B24" s="12" t="n">
        <v>150.72</v>
      </c>
      <c r="C24" s="13" t="n">
        <v>5638</v>
      </c>
      <c r="D24" s="14" t="n">
        <v>10084</v>
      </c>
      <c r="E24" s="14" t="n">
        <v>7284</v>
      </c>
      <c r="F24" s="14" t="n">
        <v>5766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T31</t>
        </is>
      </c>
      <c r="B25" s="5" t="n">
        <v>239.17</v>
      </c>
      <c r="C25" s="6" t="n">
        <v>6359</v>
      </c>
      <c r="D25" s="7" t="n">
        <v>10073</v>
      </c>
      <c r="E25" s="7" t="n">
        <v>6907</v>
      </c>
      <c r="F25" s="7" t="n">
        <v>6454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T-03</t>
        </is>
      </c>
      <c r="B26" s="12" t="n">
        <v>278.49</v>
      </c>
      <c r="C26" s="13" t="n">
        <v>7339</v>
      </c>
      <c r="D26" s="14" t="n">
        <v>9933</v>
      </c>
      <c r="E26" s="14" t="n">
        <v>6394</v>
      </c>
      <c r="F26" s="14" t="n">
        <v>5324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T-15A</t>
        </is>
      </c>
      <c r="B27" s="5" t="n">
        <v>169.72</v>
      </c>
      <c r="C27" s="6" t="n">
        <v>5278</v>
      </c>
      <c r="D27" s="7" t="n">
        <v>9733</v>
      </c>
      <c r="E27" s="7" t="n">
        <v>7258</v>
      </c>
      <c r="F27" s="7" t="n">
        <v>6900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T-14</t>
        </is>
      </c>
      <c r="B28" s="12" t="n">
        <v>270.48</v>
      </c>
      <c r="C28" s="13" t="n">
        <v>6729</v>
      </c>
      <c r="D28" s="14" t="n">
        <v>8605</v>
      </c>
      <c r="E28" s="14" t="n">
        <v>5253</v>
      </c>
      <c r="F28" s="14" t="n">
        <v>4896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T-08</t>
        </is>
      </c>
      <c r="B29" s="5" t="n">
        <v>300.64</v>
      </c>
      <c r="C29" s="6" t="n">
        <v>7008</v>
      </c>
      <c r="D29" s="7" t="n">
        <v>8572</v>
      </c>
      <c r="E29" s="7" t="n">
        <v>5253</v>
      </c>
      <c r="F29" s="7" t="n">
        <v>4931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T-02</t>
        </is>
      </c>
      <c r="B30" s="12" t="n">
        <v>299.8</v>
      </c>
      <c r="C30" s="13" t="n">
        <v>7001</v>
      </c>
      <c r="D30" s="14" t="n">
        <v>7886</v>
      </c>
      <c r="E30" s="14" t="n">
        <v>4386</v>
      </c>
      <c r="F30" s="14" t="n">
        <v>3565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T30</t>
        </is>
      </c>
      <c r="B31" s="5" t="n">
        <v>43.67</v>
      </c>
      <c r="C31" s="6" t="n">
        <v>3710</v>
      </c>
      <c r="D31" s="7" t="n">
        <v>7323</v>
      </c>
      <c r="E31" s="7" t="n">
        <v>5495</v>
      </c>
      <c r="F31" s="7" t="n">
        <v>5086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T-23</t>
        </is>
      </c>
      <c r="B32" s="12" t="n">
        <v>201.87</v>
      </c>
      <c r="C32" s="13" t="n">
        <v>6413</v>
      </c>
      <c r="D32" s="14" t="n">
        <v>7050</v>
      </c>
      <c r="E32" s="14" t="n">
        <v>4082</v>
      </c>
      <c r="F32" s="14" t="n">
        <v>2918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T-09</t>
        </is>
      </c>
      <c r="B33" s="5" t="n">
        <v>300.31</v>
      </c>
      <c r="C33" s="6" t="n">
        <v>7000</v>
      </c>
      <c r="D33" s="7" t="n">
        <v>6570</v>
      </c>
      <c r="E33" s="7" t="n">
        <v>3251</v>
      </c>
      <c r="F33" s="7" t="n">
        <v>2954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T-13</t>
        </is>
      </c>
      <c r="B34" s="12" t="n">
        <v>196.28</v>
      </c>
      <c r="C34" s="13" t="n">
        <v>6359</v>
      </c>
      <c r="D34" s="14" t="n">
        <v>6265</v>
      </c>
      <c r="E34" s="14" t="n">
        <v>3251</v>
      </c>
      <c r="F34" s="14" t="n">
        <v>2898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T-01C</t>
        </is>
      </c>
      <c r="B35" s="5" t="n">
        <v>302.68</v>
      </c>
      <c r="C35" s="6" t="n">
        <v>6953</v>
      </c>
      <c r="D35" s="7" t="n">
        <v>5885</v>
      </c>
      <c r="E35" s="7" t="n">
        <v>2415</v>
      </c>
      <c r="F35" s="7" t="n">
        <v>2263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1" t="inlineStr">
        <is>
          <t>T-22</t>
        </is>
      </c>
      <c r="B36" s="12" t="n">
        <v>58.7</v>
      </c>
      <c r="C36" s="13" t="n">
        <v>4507</v>
      </c>
      <c r="D36" s="14" t="n">
        <v>5473</v>
      </c>
      <c r="E36" s="14" t="n">
        <v>3353</v>
      </c>
      <c r="F36" s="14" t="n">
        <v>2582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T-22A</t>
        </is>
      </c>
      <c r="B37" s="5" t="n">
        <v>131.93</v>
      </c>
      <c r="C37" s="6" t="n">
        <v>5328</v>
      </c>
      <c r="D37" s="7" t="n">
        <v>5181</v>
      </c>
      <c r="E37" s="7" t="n">
        <v>2621</v>
      </c>
      <c r="F37" s="7" t="n">
        <v>2422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1" t="inlineStr">
        <is>
          <t>T-20</t>
        </is>
      </c>
      <c r="B38" s="12" t="n">
        <v>140.68</v>
      </c>
      <c r="C38" s="13" t="n">
        <v>4965</v>
      </c>
      <c r="D38" s="14" t="n">
        <v>5120</v>
      </c>
      <c r="E38" s="14" t="n">
        <v>2657</v>
      </c>
      <c r="F38" s="14" t="n">
        <v>1940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T-01B</t>
        </is>
      </c>
      <c r="B39" s="5" t="n">
        <v>65</v>
      </c>
      <c r="C39" s="6" t="n">
        <v>3845</v>
      </c>
      <c r="D39" s="7" t="n">
        <v>4697</v>
      </c>
      <c r="E39" s="7" t="n">
        <v>2822</v>
      </c>
      <c r="F39" s="7" t="n">
        <v>2468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0">
      <c r="A40" s="11" t="inlineStr">
        <is>
          <t>T-10B</t>
        </is>
      </c>
      <c r="B40" s="12" t="n">
        <v>177.61</v>
      </c>
      <c r="C40" s="13" t="n">
        <v>5367</v>
      </c>
      <c r="D40" s="14" t="n">
        <v>4561</v>
      </c>
      <c r="E40" s="14" t="n">
        <v>2068</v>
      </c>
      <c r="F40" s="14" t="n">
        <v>1812</v>
      </c>
      <c r="G40" s="15">
        <f>D40/1000</f>
        <v/>
      </c>
      <c r="H40" s="15">
        <f>E40/1000</f>
        <v/>
      </c>
      <c r="I40" s="16">
        <f>IFERROR(D40/F40,"")</f>
        <v/>
      </c>
      <c r="J40" s="17" t="inlineStr"/>
    </row>
    <row r="41">
      <c r="A41" s="4" t="inlineStr">
        <is>
          <t>T-29</t>
        </is>
      </c>
      <c r="B41" s="5" t="n">
        <v>75.31</v>
      </c>
      <c r="C41" s="6" t="n">
        <v>3891</v>
      </c>
      <c r="D41" s="7" t="n">
        <v>4495</v>
      </c>
      <c r="E41" s="7" t="n">
        <v>2743</v>
      </c>
      <c r="F41" s="7" t="n">
        <v>2237</v>
      </c>
      <c r="G41" s="8">
        <f>D41/1000</f>
        <v/>
      </c>
      <c r="H41" s="8">
        <f>E41/1000</f>
        <v/>
      </c>
      <c r="I41" s="9">
        <f>IFERROR(D41/F41,"")</f>
        <v/>
      </c>
      <c r="J41" s="10" t="inlineStr"/>
    </row>
    <row r="42">
      <c r="A42" s="11" t="inlineStr">
        <is>
          <t>T-01A</t>
        </is>
      </c>
      <c r="B42" s="12" t="n">
        <v>60.51</v>
      </c>
      <c r="C42" s="13" t="n">
        <v>3703</v>
      </c>
      <c r="D42" s="14" t="n">
        <v>4265</v>
      </c>
      <c r="E42" s="14" t="n">
        <v>2422</v>
      </c>
      <c r="F42" s="14" t="n">
        <v>2273</v>
      </c>
      <c r="G42" s="15">
        <f>D42/1000</f>
        <v/>
      </c>
      <c r="H42" s="15">
        <f>E42/1000</f>
        <v/>
      </c>
      <c r="I42" s="16">
        <f>IFERROR(D42/F42,"")</f>
        <v/>
      </c>
      <c r="J42" s="17" t="inlineStr"/>
    </row>
    <row r="43">
      <c r="A43" s="4" t="inlineStr">
        <is>
          <t>T-12</t>
        </is>
      </c>
      <c r="B43" s="5" t="n">
        <v>174.68</v>
      </c>
      <c r="C43" s="6" t="n">
        <v>5276</v>
      </c>
      <c r="D43" s="7" t="n">
        <v>4246</v>
      </c>
      <c r="E43" s="7" t="n">
        <v>2068</v>
      </c>
      <c r="F43" s="7" t="n">
        <v>1708</v>
      </c>
      <c r="G43" s="8">
        <f>D43/1000</f>
        <v/>
      </c>
      <c r="H43" s="8">
        <f>E43/1000</f>
        <v/>
      </c>
      <c r="I43" s="9">
        <f>IFERROR(D43/F43,"")</f>
        <v/>
      </c>
      <c r="J43" s="10" t="inlineStr"/>
    </row>
    <row r="44">
      <c r="A44" s="11" t="inlineStr">
        <is>
          <t>T-20S</t>
        </is>
      </c>
      <c r="B44" s="12" t="n">
        <v>58.94</v>
      </c>
      <c r="C44" s="13" t="n">
        <v>3772</v>
      </c>
      <c r="D44" s="14" t="n">
        <v>4135</v>
      </c>
      <c r="E44" s="14" t="n">
        <v>2258</v>
      </c>
      <c r="F44" s="14" t="n">
        <v>1598</v>
      </c>
      <c r="G44" s="15">
        <f>D44/1000</f>
        <v/>
      </c>
      <c r="H44" s="15">
        <f>E44/1000</f>
        <v/>
      </c>
      <c r="I44" s="16">
        <f>IFERROR(D44/F44,"")</f>
        <v/>
      </c>
      <c r="J44" s="17" t="inlineStr"/>
    </row>
    <row r="45">
      <c r="A45" s="4" t="inlineStr">
        <is>
          <t>T-21</t>
        </is>
      </c>
      <c r="B45" s="5" t="n">
        <v>60.19</v>
      </c>
      <c r="C45" s="6" t="n">
        <v>3809</v>
      </c>
      <c r="D45" s="7" t="n">
        <v>3751</v>
      </c>
      <c r="E45" s="7" t="n">
        <v>1846</v>
      </c>
      <c r="F45" s="7" t="n">
        <v>1281</v>
      </c>
      <c r="G45" s="8">
        <f>D45/1000</f>
        <v/>
      </c>
      <c r="H45" s="8">
        <f>E45/1000</f>
        <v/>
      </c>
      <c r="I45" s="9">
        <f>IFERROR(D45/F45,"")</f>
        <v/>
      </c>
      <c r="J45" s="10" t="inlineStr"/>
    </row>
    <row r="46">
      <c r="A46" s="11" t="inlineStr">
        <is>
          <t>T-28</t>
        </is>
      </c>
      <c r="B46" s="12" t="n">
        <v>88.51000000000001</v>
      </c>
      <c r="C46" s="13" t="n">
        <v>3848</v>
      </c>
      <c r="D46" s="14" t="n">
        <v>3511</v>
      </c>
      <c r="E46" s="14" t="n">
        <v>1594</v>
      </c>
      <c r="F46" s="14" t="n">
        <v>1229</v>
      </c>
      <c r="G46" s="15">
        <f>D46/1000</f>
        <v/>
      </c>
      <c r="H46" s="15">
        <f>E46/1000</f>
        <v/>
      </c>
      <c r="I46" s="16">
        <f>IFERROR(D46/F46,"")</f>
        <v/>
      </c>
      <c r="J46" s="17" t="inlineStr"/>
    </row>
    <row r="47">
      <c r="A47" s="18" t="inlineStr">
        <is>
          <t>T-21A</t>
        </is>
      </c>
      <c r="B47" s="19" t="n">
        <v>124</v>
      </c>
      <c r="C47" s="20" t="n">
        <v>4814</v>
      </c>
      <c r="D47" s="21" t="n">
        <v>3454</v>
      </c>
      <c r="E47" s="21" t="n">
        <v>1052</v>
      </c>
      <c r="F47" s="21" t="n">
        <v>922</v>
      </c>
      <c r="G47" s="22">
        <f>D47/1000</f>
        <v/>
      </c>
      <c r="H47" s="22">
        <f>E47/1000</f>
        <v/>
      </c>
      <c r="I47" s="23">
        <f>IFERROR(D47/F47,"")</f>
        <v/>
      </c>
      <c r="J47" s="24" t="inlineStr"/>
    </row>
    <row r="48">
      <c r="A48" s="11" t="inlineStr">
        <is>
          <t>T-10S</t>
        </is>
      </c>
      <c r="B48" s="12" t="n">
        <v>60.87</v>
      </c>
      <c r="C48" s="13" t="n">
        <v>3801</v>
      </c>
      <c r="D48" s="14" t="n">
        <v>3368</v>
      </c>
      <c r="E48" s="14" t="n">
        <v>1656</v>
      </c>
      <c r="F48" s="14" t="n">
        <v>1426</v>
      </c>
      <c r="G48" s="15">
        <f>D48/1000</f>
        <v/>
      </c>
      <c r="H48" s="15">
        <f>E48/1000</f>
        <v/>
      </c>
      <c r="I48" s="16">
        <f>IFERROR(D48/F48,"")</f>
        <v/>
      </c>
      <c r="J48" s="17" t="inlineStr"/>
    </row>
    <row r="49">
      <c r="A49" s="4" t="inlineStr">
        <is>
          <t>T-12S</t>
        </is>
      </c>
      <c r="B49" s="5" t="n">
        <v>59.61</v>
      </c>
      <c r="C49" s="6" t="n">
        <v>3784</v>
      </c>
      <c r="D49" s="7" t="n">
        <v>3094</v>
      </c>
      <c r="E49" s="7" t="n">
        <v>1659</v>
      </c>
      <c r="F49" s="7" t="n">
        <v>1302</v>
      </c>
      <c r="G49" s="8">
        <f>D49/1000</f>
        <v/>
      </c>
      <c r="H49" s="8">
        <f>E49/1000</f>
        <v/>
      </c>
      <c r="I49" s="9">
        <f>IFERROR(D49/F49,"")</f>
        <v/>
      </c>
      <c r="J49" s="10" t="inlineStr"/>
    </row>
    <row r="50">
      <c r="A50" s="18" t="inlineStr">
        <is>
          <t>T-10A</t>
        </is>
      </c>
      <c r="B50" s="19" t="n">
        <v>80.13</v>
      </c>
      <c r="C50" s="20" t="n">
        <v>4466</v>
      </c>
      <c r="D50" s="21" t="n">
        <v>2970</v>
      </c>
      <c r="E50" s="21" t="n">
        <v>747</v>
      </c>
      <c r="F50" s="21" t="n">
        <v>704</v>
      </c>
      <c r="G50" s="22">
        <f>D50/1000</f>
        <v/>
      </c>
      <c r="H50" s="22">
        <f>E50/1000</f>
        <v/>
      </c>
      <c r="I50" s="23">
        <f>IFERROR(D50/F50,"")</f>
        <v/>
      </c>
      <c r="J50" s="24" t="inlineStr"/>
    </row>
    <row r="51">
      <c r="A51" s="18" t="inlineStr">
        <is>
          <t>T-11</t>
        </is>
      </c>
      <c r="B51" s="19" t="n">
        <v>59.79</v>
      </c>
      <c r="C51" s="20" t="n">
        <v>3770</v>
      </c>
      <c r="D51" s="21" t="n">
        <v>2690</v>
      </c>
      <c r="E51" s="21" t="n">
        <v>1261</v>
      </c>
      <c r="F51" s="21" t="n">
        <v>893</v>
      </c>
      <c r="G51" s="22">
        <f>D51/1000</f>
        <v/>
      </c>
      <c r="H51" s="22">
        <f>E51/1000</f>
        <v/>
      </c>
      <c r="I51" s="23">
        <f>IFERROR(D51/F51,"")</f>
        <v/>
      </c>
      <c r="J51" s="24" t="inlineStr"/>
    </row>
    <row r="52">
      <c r="A52" s="11" t="inlineStr">
        <is>
          <t>T-25</t>
        </is>
      </c>
      <c r="B52" s="12" t="n">
        <v>19.78</v>
      </c>
      <c r="C52" s="13" t="n">
        <v>2018</v>
      </c>
      <c r="D52" s="14" t="n">
        <v>2635</v>
      </c>
      <c r="E52" s="14" t="n">
        <v>1629</v>
      </c>
      <c r="F52" s="14" t="n">
        <v>1077</v>
      </c>
      <c r="G52" s="15">
        <f>D52/1000</f>
        <v/>
      </c>
      <c r="H52" s="15">
        <f>E52/1000</f>
        <v/>
      </c>
      <c r="I52" s="16">
        <f>IFERROR(D52/F52,"")</f>
        <v/>
      </c>
      <c r="J52" s="17" t="inlineStr"/>
    </row>
    <row r="53">
      <c r="A53" s="18" t="inlineStr">
        <is>
          <t>T-27</t>
        </is>
      </c>
      <c r="B53" s="19" t="n">
        <v>70.98</v>
      </c>
      <c r="C53" s="20" t="n">
        <v>3651</v>
      </c>
      <c r="D53" s="21" t="n">
        <v>2481</v>
      </c>
      <c r="E53" s="21" t="n">
        <v>1126</v>
      </c>
      <c r="F53" s="21" t="n">
        <v>628</v>
      </c>
      <c r="G53" s="22">
        <f>D53/1000</f>
        <v/>
      </c>
      <c r="H53" s="22">
        <f>E53/1000</f>
        <v/>
      </c>
      <c r="I53" s="23">
        <f>IFERROR(D53/F53,"")</f>
        <v/>
      </c>
      <c r="J53" s="24" t="inlineStr"/>
    </row>
    <row r="54">
      <c r="A54" s="18" t="inlineStr">
        <is>
          <t>T-11A</t>
        </is>
      </c>
      <c r="B54" s="19" t="n">
        <v>113.78</v>
      </c>
      <c r="C54" s="20" t="n">
        <v>4554</v>
      </c>
      <c r="D54" s="21" t="n">
        <v>2285</v>
      </c>
      <c r="E54" s="21" t="n">
        <v>277</v>
      </c>
      <c r="F54" s="21" t="n">
        <v>174</v>
      </c>
      <c r="G54" s="22">
        <f>D54/1000</f>
        <v/>
      </c>
      <c r="H54" s="22">
        <f>E54/1000</f>
        <v/>
      </c>
      <c r="I54" s="23">
        <f>IFERROR(D54/F54,"")</f>
        <v/>
      </c>
      <c r="J54" s="24" t="inlineStr"/>
    </row>
    <row r="55">
      <c r="A55" s="4" t="inlineStr">
        <is>
          <t>T-26</t>
        </is>
      </c>
      <c r="B55" s="5" t="n">
        <v>18.11</v>
      </c>
      <c r="C55" s="6" t="n">
        <v>1911</v>
      </c>
      <c r="D55" s="7" t="n">
        <v>2077</v>
      </c>
      <c r="E55" s="7" t="n">
        <v>1126</v>
      </c>
      <c r="F55" s="7" t="n">
        <v>836</v>
      </c>
      <c r="G55" s="8">
        <f>D55/1000</f>
        <v/>
      </c>
      <c r="H55" s="8">
        <f>E55/1000</f>
        <v/>
      </c>
      <c r="I55" s="9">
        <f>IFERROR(D55/F55,"")</f>
        <v/>
      </c>
      <c r="J55" s="10" t="inlineStr"/>
    </row>
    <row r="57">
      <c r="A57" s="25" t="inlineStr">
        <is>
          <t>TOTAL / MÁXIMO</t>
        </is>
      </c>
      <c r="B57" s="26">
        <f>SUM(B5:B55)</f>
        <v/>
      </c>
      <c r="D57" s="27">
        <f>MAX(IFERROR(D5:D55*1,0))</f>
        <v/>
      </c>
      <c r="G57" s="28">
        <f>IFERROR(MAX(G5:G55),"")</f>
        <v/>
      </c>
      <c r="I57" s="29">
        <f>IFERROR(AVERAGE(I5:I55),"")</f>
        <v/>
      </c>
    </row>
    <row r="58">
      <c r="A58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(-13.560205, -57.475789).</t>
        </is>
      </c>
    </row>
    <row r="4" ht="30" customHeight="1">
      <c r="A4" s="32" t="inlineStr">
        <is>
          <t>Talhões</t>
        </is>
      </c>
      <c r="B4" s="33" t="inlineStr">
        <is>
          <t>51 polígonos da pasta FAZENDA P.PEDRA.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2026-09-14T13:59:27Z</dcterms:created>
  <dcterms:modified xmlns:dcterms="http://purl.org/dc/terms/" xmlns:xsi="http://www.w3.org/2001/XMLSchema-instance" xsi:type="dcterms:W3CDTF">2026-09-14T13:59:27Z</dcterms:modified>
</cp:coreProperties>
</file>