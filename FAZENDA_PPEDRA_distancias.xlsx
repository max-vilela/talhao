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âncias" sheetId="1" state="visible" r:id="rId1"/>
    <sheet xmlns:r="http://schemas.openxmlformats.org/officeDocument/2006/relationships" name="Premis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000000"/>
      <sz val="9"/>
    </font>
    <font>
      <name val="Arial"/>
      <i val="1"/>
      <color rgb="00808080"/>
      <sz val="9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3" fontId="6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0" fontId="7" fillId="0" borderId="1" pivotButton="0" quotePrefix="0" xfId="0"/>
    <xf numFmtId="0" fontId="4" fillId="3" borderId="1" pivotButton="0" quotePrefix="0" xfId="0"/>
    <xf numFmtId="164" fontId="5" fillId="3" borderId="1" pivotButton="0" quotePrefix="0" xfId="0"/>
    <xf numFmtId="3" fontId="5" fillId="3" borderId="1" pivotButton="0" quotePrefix="0" xfId="0"/>
    <xf numFmtId="3" fontId="6" fillId="3" borderId="1" pivotButton="0" quotePrefix="0" xfId="0"/>
    <xf numFmtId="4" fontId="5" fillId="3" borderId="1" pivotButton="0" quotePrefix="0" xfId="0"/>
    <xf numFmtId="2" fontId="5" fillId="3" borderId="1" pivotButton="0" quotePrefix="0" xfId="0"/>
    <xf numFmtId="0" fontId="7" fillId="3" borderId="1" pivotButton="0" quotePrefix="0" xfId="0"/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2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7" customWidth="1" min="9" max="9"/>
    <col width="34" customWidth="1" min="10" max="10"/>
  </cols>
  <sheetData>
    <row r="1">
      <c r="A1" s="1" t="inlineStr">
        <is>
          <t>FAZENDA P.PEDRA — distância dos talhões até a sede</t>
        </is>
      </c>
    </row>
    <row r="2">
      <c r="A2" s="2" t="inlineStr">
        <is>
          <t>Percurso pelas estradas/carreadores, até o ponto mais extremo do talhão.</t>
        </is>
      </c>
    </row>
    <row r="4" ht="30" customHeight="1">
      <c r="A4" s="3" t="inlineStr">
        <is>
          <t>Talhão</t>
        </is>
      </c>
      <c r="B4" s="3" t="inlineStr">
        <is>
          <t>Área (ha)</t>
        </is>
      </c>
      <c r="C4" s="3" t="inlineStr">
        <is>
          <t>Perímetro (m)</t>
        </is>
      </c>
      <c r="D4" s="3" t="inlineStr">
        <is>
          <t>Dist. máxima (m)</t>
        </is>
      </c>
      <c r="E4" s="3" t="inlineStr">
        <is>
          <t>Dist. mínima (m)</t>
        </is>
      </c>
      <c r="F4" s="3" t="inlineStr">
        <is>
          <t>Linha reta (m)</t>
        </is>
      </c>
      <c r="G4" s="3" t="inlineStr">
        <is>
          <t>Máxima (km)</t>
        </is>
      </c>
      <c r="H4" s="3" t="inlineStr">
        <is>
          <t>Mínima (km)</t>
        </is>
      </c>
      <c r="I4" s="3" t="inlineStr">
        <is>
          <t>Fator estrada/reta</t>
        </is>
      </c>
      <c r="J4" s="3" t="inlineStr">
        <is>
          <t>Observação</t>
        </is>
      </c>
    </row>
    <row r="5">
      <c r="A5" s="4" t="inlineStr">
        <is>
          <t>T-05B</t>
        </is>
      </c>
      <c r="B5" s="5" t="n">
        <v>124.34</v>
      </c>
      <c r="C5" s="6" t="n">
        <v>4758</v>
      </c>
      <c r="D5" s="7" t="n">
        <v>23130</v>
      </c>
      <c r="E5" s="7" t="n">
        <v>20762</v>
      </c>
      <c r="F5" s="7" t="n">
        <v>15004</v>
      </c>
      <c r="G5" s="8">
        <f>D5/1000</f>
        <v/>
      </c>
      <c r="H5" s="8">
        <f>E5/1000</f>
        <v/>
      </c>
      <c r="I5" s="9">
        <f>IFERROR(D5/F5,"")</f>
        <v/>
      </c>
      <c r="J5" s="10" t="inlineStr"/>
    </row>
    <row r="6">
      <c r="A6" s="11" t="inlineStr">
        <is>
          <t>T37</t>
        </is>
      </c>
      <c r="B6" s="12" t="n">
        <v>67.45999999999999</v>
      </c>
      <c r="C6" s="13" t="n">
        <v>3607</v>
      </c>
      <c r="D6" s="14" t="n">
        <v>22685</v>
      </c>
      <c r="E6" s="14" t="n">
        <v>20893</v>
      </c>
      <c r="F6" s="14" t="n">
        <v>16250</v>
      </c>
      <c r="G6" s="15">
        <f>D6/1000</f>
        <v/>
      </c>
      <c r="H6" s="15">
        <f>E6/1000</f>
        <v/>
      </c>
      <c r="I6" s="16">
        <f>IFERROR(D6/F6,"")</f>
        <v/>
      </c>
      <c r="J6" s="17" t="inlineStr"/>
    </row>
    <row r="7">
      <c r="A7" s="4" t="inlineStr">
        <is>
          <t>T-17</t>
        </is>
      </c>
      <c r="B7" s="5" t="n">
        <v>140.75</v>
      </c>
      <c r="C7" s="6" t="n">
        <v>5173</v>
      </c>
      <c r="D7" s="7" t="n">
        <v>22531</v>
      </c>
      <c r="E7" s="7" t="n">
        <v>19955</v>
      </c>
      <c r="F7" s="7" t="n">
        <v>15747</v>
      </c>
      <c r="G7" s="8">
        <f>D7/1000</f>
        <v/>
      </c>
      <c r="H7" s="8">
        <f>E7/1000</f>
        <v/>
      </c>
      <c r="I7" s="9">
        <f>IFERROR(D7/F7,"")</f>
        <v/>
      </c>
      <c r="J7" s="10" t="inlineStr"/>
    </row>
    <row r="8">
      <c r="A8" s="11" t="inlineStr">
        <is>
          <t>T-05A</t>
        </is>
      </c>
      <c r="B8" s="12" t="n">
        <v>175.27</v>
      </c>
      <c r="C8" s="13" t="n">
        <v>5486</v>
      </c>
      <c r="D8" s="14" t="n">
        <v>22492</v>
      </c>
      <c r="E8" s="14" t="n">
        <v>19870</v>
      </c>
      <c r="F8" s="14" t="n">
        <v>13634</v>
      </c>
      <c r="G8" s="15">
        <f>D8/1000</f>
        <v/>
      </c>
      <c r="H8" s="15">
        <f>E8/1000</f>
        <v/>
      </c>
      <c r="I8" s="16">
        <f>IFERROR(D8/F8,"")</f>
        <v/>
      </c>
      <c r="J8" s="17" t="inlineStr"/>
    </row>
    <row r="9">
      <c r="A9" s="4" t="inlineStr">
        <is>
          <t>T-05S</t>
        </is>
      </c>
      <c r="B9" s="5" t="n">
        <v>71.5</v>
      </c>
      <c r="C9" s="6" t="n">
        <v>4054</v>
      </c>
      <c r="D9" s="7" t="n">
        <v>22488</v>
      </c>
      <c r="E9" s="7" t="n">
        <v>20467</v>
      </c>
      <c r="F9" s="7" t="n">
        <v>14361</v>
      </c>
      <c r="G9" s="8">
        <f>D9/1000</f>
        <v/>
      </c>
      <c r="H9" s="8">
        <f>E9/1000</f>
        <v/>
      </c>
      <c r="I9" s="9">
        <f>IFERROR(D9/F9,"")</f>
        <v/>
      </c>
      <c r="J9" s="10" t="inlineStr"/>
    </row>
    <row r="10">
      <c r="A10" s="11" t="inlineStr">
        <is>
          <t>T33</t>
        </is>
      </c>
      <c r="B10" s="12" t="n">
        <v>149.61</v>
      </c>
      <c r="C10" s="13" t="n">
        <v>5003</v>
      </c>
      <c r="D10" s="14" t="n">
        <v>22356</v>
      </c>
      <c r="E10" s="14" t="n">
        <v>20129</v>
      </c>
      <c r="F10" s="14" t="n">
        <v>15887</v>
      </c>
      <c r="G10" s="15">
        <f>D10/1000</f>
        <v/>
      </c>
      <c r="H10" s="15">
        <f>E10/1000</f>
        <v/>
      </c>
      <c r="I10" s="16">
        <f>IFERROR(D10/F10,"")</f>
        <v/>
      </c>
      <c r="J10" s="17" t="inlineStr"/>
    </row>
    <row r="11">
      <c r="A11" s="4" t="inlineStr">
        <is>
          <t>T38</t>
        </is>
      </c>
      <c r="B11" s="5" t="n">
        <v>140.69</v>
      </c>
      <c r="C11" s="6" t="n">
        <v>4981</v>
      </c>
      <c r="D11" s="7" t="n">
        <v>21968</v>
      </c>
      <c r="E11" s="7" t="n">
        <v>19497</v>
      </c>
      <c r="F11" s="7" t="n">
        <v>14856</v>
      </c>
      <c r="G11" s="8">
        <f>D11/1000</f>
        <v/>
      </c>
      <c r="H11" s="8">
        <f>E11/1000</f>
        <v/>
      </c>
      <c r="I11" s="9">
        <f>IFERROR(D11/F11,"")</f>
        <v/>
      </c>
      <c r="J11" s="10" t="inlineStr"/>
    </row>
    <row r="12">
      <c r="A12" s="11" t="inlineStr">
        <is>
          <t>T-06B</t>
        </is>
      </c>
      <c r="B12" s="12" t="n">
        <v>144.9</v>
      </c>
      <c r="C12" s="13" t="n">
        <v>4944</v>
      </c>
      <c r="D12" s="14" t="n">
        <v>21954</v>
      </c>
      <c r="E12" s="14" t="n">
        <v>19708</v>
      </c>
      <c r="F12" s="14" t="n">
        <v>15014</v>
      </c>
      <c r="G12" s="15">
        <f>D12/1000</f>
        <v/>
      </c>
      <c r="H12" s="15">
        <f>E12/1000</f>
        <v/>
      </c>
      <c r="I12" s="16">
        <f>IFERROR(D12/F12,"")</f>
        <v/>
      </c>
      <c r="J12" s="17" t="inlineStr"/>
    </row>
    <row r="13">
      <c r="A13" s="4" t="inlineStr">
        <is>
          <t>T-16B</t>
        </is>
      </c>
      <c r="B13" s="5" t="n">
        <v>66.45999999999999</v>
      </c>
      <c r="C13" s="6" t="n">
        <v>3913</v>
      </c>
      <c r="D13" s="7" t="n">
        <v>21847</v>
      </c>
      <c r="E13" s="7" t="n">
        <v>20121</v>
      </c>
      <c r="F13" s="7" t="n">
        <v>16110</v>
      </c>
      <c r="G13" s="8">
        <f>D13/1000</f>
        <v/>
      </c>
      <c r="H13" s="8">
        <f>E13/1000</f>
        <v/>
      </c>
      <c r="I13" s="9">
        <f>IFERROR(D13/F13,"")</f>
        <v/>
      </c>
      <c r="J13" s="10" t="inlineStr"/>
    </row>
    <row r="14">
      <c r="A14" s="11" t="inlineStr">
        <is>
          <t>T-16A</t>
        </is>
      </c>
      <c r="B14" s="12" t="n">
        <v>56.03</v>
      </c>
      <c r="C14" s="13" t="n">
        <v>3746</v>
      </c>
      <c r="D14" s="14" t="n">
        <v>21395</v>
      </c>
      <c r="E14" s="14" t="n">
        <v>19710</v>
      </c>
      <c r="F14" s="14" t="n">
        <v>15750</v>
      </c>
      <c r="G14" s="15">
        <f>D14/1000</f>
        <v/>
      </c>
      <c r="H14" s="15">
        <f>E14/1000</f>
        <v/>
      </c>
      <c r="I14" s="16">
        <f>IFERROR(D14/F14,"")</f>
        <v/>
      </c>
      <c r="J14" s="17" t="inlineStr"/>
    </row>
    <row r="15">
      <c r="A15" s="4" t="inlineStr">
        <is>
          <t>T-04</t>
        </is>
      </c>
      <c r="B15" s="5" t="n">
        <v>302.63</v>
      </c>
      <c r="C15" s="6" t="n">
        <v>7372</v>
      </c>
      <c r="D15" s="7" t="n">
        <v>21360</v>
      </c>
      <c r="E15" s="7" t="n">
        <v>17783</v>
      </c>
      <c r="F15" s="7" t="n">
        <v>11657</v>
      </c>
      <c r="G15" s="8">
        <f>D15/1000</f>
        <v/>
      </c>
      <c r="H15" s="8">
        <f>E15/1000</f>
        <v/>
      </c>
      <c r="I15" s="9">
        <f>IFERROR(D15/F15,"")</f>
        <v/>
      </c>
      <c r="J15" s="10" t="inlineStr"/>
    </row>
    <row r="16">
      <c r="A16" s="11" t="inlineStr">
        <is>
          <t>T34</t>
        </is>
      </c>
      <c r="B16" s="12" t="n">
        <v>131.51</v>
      </c>
      <c r="C16" s="13" t="n">
        <v>4710</v>
      </c>
      <c r="D16" s="14" t="n">
        <v>21142</v>
      </c>
      <c r="E16" s="14" t="n">
        <v>18784</v>
      </c>
      <c r="F16" s="14" t="n">
        <v>14642</v>
      </c>
      <c r="G16" s="15">
        <f>D16/1000</f>
        <v/>
      </c>
      <c r="H16" s="15">
        <f>E16/1000</f>
        <v/>
      </c>
      <c r="I16" s="16">
        <f>IFERROR(D16/F16,"")</f>
        <v/>
      </c>
      <c r="J16" s="17" t="inlineStr"/>
    </row>
    <row r="17">
      <c r="A17" s="4" t="inlineStr">
        <is>
          <t>T-15C</t>
        </is>
      </c>
      <c r="B17" s="5" t="n">
        <v>136.18</v>
      </c>
      <c r="C17" s="6" t="n">
        <v>4817</v>
      </c>
      <c r="D17" s="7" t="n">
        <v>21011</v>
      </c>
      <c r="E17" s="7" t="n">
        <v>18769</v>
      </c>
      <c r="F17" s="7" t="n">
        <v>14928</v>
      </c>
      <c r="G17" s="8">
        <f>D17/1000</f>
        <v/>
      </c>
      <c r="H17" s="8">
        <f>E17/1000</f>
        <v/>
      </c>
      <c r="I17" s="9">
        <f>IFERROR(D17/F17,"")</f>
        <v/>
      </c>
      <c r="J17" s="10" t="inlineStr"/>
    </row>
    <row r="18">
      <c r="A18" s="11" t="inlineStr">
        <is>
          <t>T-06A</t>
        </is>
      </c>
      <c r="B18" s="12" t="n">
        <v>132.93</v>
      </c>
      <c r="C18" s="13" t="n">
        <v>4758</v>
      </c>
      <c r="D18" s="14" t="n">
        <v>20952</v>
      </c>
      <c r="E18" s="14" t="n">
        <v>18755</v>
      </c>
      <c r="F18" s="14" t="n">
        <v>14217</v>
      </c>
      <c r="G18" s="15">
        <f>D18/1000</f>
        <v/>
      </c>
      <c r="H18" s="15">
        <f>E18/1000</f>
        <v/>
      </c>
      <c r="I18" s="16">
        <f>IFERROR(D18/F18,"")</f>
        <v/>
      </c>
      <c r="J18" s="17" t="inlineStr"/>
    </row>
    <row r="19">
      <c r="A19" s="4" t="inlineStr">
        <is>
          <t>T-24</t>
        </is>
      </c>
      <c r="B19" s="5" t="n">
        <v>83.31999999999999</v>
      </c>
      <c r="C19" s="6" t="n">
        <v>3691</v>
      </c>
      <c r="D19" s="7" t="n">
        <v>20857</v>
      </c>
      <c r="E19" s="7" t="n">
        <v>19186</v>
      </c>
      <c r="F19" s="7" t="n">
        <v>15125</v>
      </c>
      <c r="G19" s="8">
        <f>D19/1000</f>
        <v/>
      </c>
      <c r="H19" s="8">
        <f>E19/1000</f>
        <v/>
      </c>
      <c r="I19" s="9">
        <f>IFERROR(D19/F19,"")</f>
        <v/>
      </c>
      <c r="J19" s="10" t="inlineStr"/>
    </row>
    <row r="20">
      <c r="A20" s="11" t="inlineStr">
        <is>
          <t>T31</t>
        </is>
      </c>
      <c r="B20" s="12" t="n">
        <v>239.17</v>
      </c>
      <c r="C20" s="13" t="n">
        <v>6359</v>
      </c>
      <c r="D20" s="14" t="n">
        <v>20685</v>
      </c>
      <c r="E20" s="14" t="n">
        <v>17519</v>
      </c>
      <c r="F20" s="14" t="n">
        <v>15489</v>
      </c>
      <c r="G20" s="15">
        <f>D20/1000</f>
        <v/>
      </c>
      <c r="H20" s="15">
        <f>E20/1000</f>
        <v/>
      </c>
      <c r="I20" s="16">
        <f>IFERROR(D20/F20,"")</f>
        <v/>
      </c>
      <c r="J20" s="17" t="inlineStr"/>
    </row>
    <row r="21">
      <c r="A21" s="4" t="inlineStr">
        <is>
          <t>T-18</t>
        </is>
      </c>
      <c r="B21" s="5" t="n">
        <v>115.23</v>
      </c>
      <c r="C21" s="6" t="n">
        <v>4528</v>
      </c>
      <c r="D21" s="7" t="n">
        <v>20120</v>
      </c>
      <c r="E21" s="7" t="n">
        <v>17868</v>
      </c>
      <c r="F21" s="7" t="n">
        <v>14106</v>
      </c>
      <c r="G21" s="8">
        <f>D21/1000</f>
        <v/>
      </c>
      <c r="H21" s="8">
        <f>E21/1000</f>
        <v/>
      </c>
      <c r="I21" s="9">
        <f>IFERROR(D21/F21,"")</f>
        <v/>
      </c>
      <c r="J21" s="10" t="inlineStr"/>
    </row>
    <row r="22">
      <c r="A22" s="11" t="inlineStr">
        <is>
          <t>T-07B</t>
        </is>
      </c>
      <c r="B22" s="12" t="n">
        <v>53.96</v>
      </c>
      <c r="C22" s="13" t="n">
        <v>3674</v>
      </c>
      <c r="D22" s="14" t="n">
        <v>20029</v>
      </c>
      <c r="E22" s="14" t="n">
        <v>18380</v>
      </c>
      <c r="F22" s="14" t="n">
        <v>13875</v>
      </c>
      <c r="G22" s="15">
        <f>D22/1000</f>
        <v/>
      </c>
      <c r="H22" s="15">
        <f>E22/1000</f>
        <v/>
      </c>
      <c r="I22" s="16">
        <f>IFERROR(D22/F22,"")</f>
        <v/>
      </c>
      <c r="J22" s="17" t="inlineStr"/>
    </row>
    <row r="23">
      <c r="A23" s="4" t="inlineStr">
        <is>
          <t>T-15B</t>
        </is>
      </c>
      <c r="B23" s="5" t="n">
        <v>80.43000000000001</v>
      </c>
      <c r="C23" s="6" t="n">
        <v>4103</v>
      </c>
      <c r="D23" s="7" t="n">
        <v>19671</v>
      </c>
      <c r="E23" s="7" t="n">
        <v>17878</v>
      </c>
      <c r="F23" s="7" t="n">
        <v>14168</v>
      </c>
      <c r="G23" s="8">
        <f>D23/1000</f>
        <v/>
      </c>
      <c r="H23" s="8">
        <f>E23/1000</f>
        <v/>
      </c>
      <c r="I23" s="9">
        <f>IFERROR(D23/F23,"")</f>
        <v/>
      </c>
      <c r="J23" s="10" t="inlineStr"/>
    </row>
    <row r="24">
      <c r="A24" s="11" t="inlineStr">
        <is>
          <t>T-07A</t>
        </is>
      </c>
      <c r="B24" s="12" t="n">
        <v>254.67</v>
      </c>
      <c r="C24" s="13" t="n">
        <v>6809</v>
      </c>
      <c r="D24" s="14" t="n">
        <v>19667</v>
      </c>
      <c r="E24" s="14" t="n">
        <v>16672</v>
      </c>
      <c r="F24" s="14" t="n">
        <v>12367</v>
      </c>
      <c r="G24" s="15">
        <f>D24/1000</f>
        <v/>
      </c>
      <c r="H24" s="15">
        <f>E24/1000</f>
        <v/>
      </c>
      <c r="I24" s="16">
        <f>IFERROR(D24/F24,"")</f>
        <v/>
      </c>
      <c r="J24" s="17" t="inlineStr"/>
    </row>
    <row r="25">
      <c r="A25" s="4" t="inlineStr">
        <is>
          <t>T-19</t>
        </is>
      </c>
      <c r="B25" s="5" t="n">
        <v>150.72</v>
      </c>
      <c r="C25" s="6" t="n">
        <v>5638</v>
      </c>
      <c r="D25" s="7" t="n">
        <v>19497</v>
      </c>
      <c r="E25" s="7" t="n">
        <v>16697</v>
      </c>
      <c r="F25" s="7" t="n">
        <v>13240</v>
      </c>
      <c r="G25" s="8">
        <f>D25/1000</f>
        <v/>
      </c>
      <c r="H25" s="8">
        <f>E25/1000</f>
        <v/>
      </c>
      <c r="I25" s="9">
        <f>IFERROR(D25/F25,"")</f>
        <v/>
      </c>
      <c r="J25" s="10" t="inlineStr"/>
    </row>
    <row r="26">
      <c r="A26" s="11" t="inlineStr">
        <is>
          <t>T-03</t>
        </is>
      </c>
      <c r="B26" s="12" t="n">
        <v>278.49</v>
      </c>
      <c r="C26" s="13" t="n">
        <v>7339</v>
      </c>
      <c r="D26" s="14" t="n">
        <v>19319</v>
      </c>
      <c r="E26" s="14" t="n">
        <v>15780</v>
      </c>
      <c r="F26" s="14" t="n">
        <v>9892</v>
      </c>
      <c r="G26" s="15">
        <f>D26/1000</f>
        <v/>
      </c>
      <c r="H26" s="15">
        <f>E26/1000</f>
        <v/>
      </c>
      <c r="I26" s="16">
        <f>IFERROR(D26/F26,"")</f>
        <v/>
      </c>
      <c r="J26" s="17" t="inlineStr"/>
    </row>
    <row r="27">
      <c r="A27" s="4" t="inlineStr">
        <is>
          <t>T-15A</t>
        </is>
      </c>
      <c r="B27" s="5" t="n">
        <v>169.72</v>
      </c>
      <c r="C27" s="6" t="n">
        <v>5278</v>
      </c>
      <c r="D27" s="7" t="n">
        <v>19146</v>
      </c>
      <c r="E27" s="7" t="n">
        <v>16672</v>
      </c>
      <c r="F27" s="7" t="n">
        <v>13180</v>
      </c>
      <c r="G27" s="8">
        <f>D27/1000</f>
        <v/>
      </c>
      <c r="H27" s="8">
        <f>E27/1000</f>
        <v/>
      </c>
      <c r="I27" s="9">
        <f>IFERROR(D27/F27,"")</f>
        <v/>
      </c>
      <c r="J27" s="10" t="inlineStr"/>
    </row>
    <row r="28">
      <c r="A28" s="11" t="inlineStr">
        <is>
          <t>T-14</t>
        </is>
      </c>
      <c r="B28" s="12" t="n">
        <v>270.48</v>
      </c>
      <c r="C28" s="13" t="n">
        <v>6729</v>
      </c>
      <c r="D28" s="14" t="n">
        <v>18018</v>
      </c>
      <c r="E28" s="14" t="n">
        <v>14666</v>
      </c>
      <c r="F28" s="14" t="n">
        <v>11611</v>
      </c>
      <c r="G28" s="15">
        <f>D28/1000</f>
        <v/>
      </c>
      <c r="H28" s="15">
        <f>E28/1000</f>
        <v/>
      </c>
      <c r="I28" s="16">
        <f>IFERROR(D28/F28,"")</f>
        <v/>
      </c>
      <c r="J28" s="17" t="inlineStr"/>
    </row>
    <row r="29">
      <c r="A29" s="4" t="inlineStr">
        <is>
          <t>T-08</t>
        </is>
      </c>
      <c r="B29" s="5" t="n">
        <v>300.64</v>
      </c>
      <c r="C29" s="6" t="n">
        <v>7008</v>
      </c>
      <c r="D29" s="7" t="n">
        <v>17974</v>
      </c>
      <c r="E29" s="7" t="n">
        <v>14666</v>
      </c>
      <c r="F29" s="7" t="n">
        <v>10680</v>
      </c>
      <c r="G29" s="8">
        <f>D29/1000</f>
        <v/>
      </c>
      <c r="H29" s="8">
        <f>E29/1000</f>
        <v/>
      </c>
      <c r="I29" s="9">
        <f>IFERROR(D29/F29,"")</f>
        <v/>
      </c>
      <c r="J29" s="10" t="inlineStr"/>
    </row>
    <row r="30">
      <c r="A30" s="11" t="inlineStr">
        <is>
          <t>T30</t>
        </is>
      </c>
      <c r="B30" s="12" t="n">
        <v>43.67</v>
      </c>
      <c r="C30" s="13" t="n">
        <v>3710</v>
      </c>
      <c r="D30" s="14" t="n">
        <v>17936</v>
      </c>
      <c r="E30" s="14" t="n">
        <v>16107</v>
      </c>
      <c r="F30" s="14" t="n">
        <v>14089</v>
      </c>
      <c r="G30" s="15">
        <f>D30/1000</f>
        <v/>
      </c>
      <c r="H30" s="15">
        <f>E30/1000</f>
        <v/>
      </c>
      <c r="I30" s="16">
        <f>IFERROR(D30/F30,"")</f>
        <v/>
      </c>
      <c r="J30" s="17" t="inlineStr"/>
    </row>
    <row r="31">
      <c r="A31" s="4" t="inlineStr">
        <is>
          <t>T-23</t>
        </is>
      </c>
      <c r="B31" s="5" t="n">
        <v>201.87</v>
      </c>
      <c r="C31" s="6" t="n">
        <v>6413</v>
      </c>
      <c r="D31" s="7" t="n">
        <v>17482</v>
      </c>
      <c r="E31" s="7" t="n">
        <v>14382</v>
      </c>
      <c r="F31" s="7" t="n">
        <v>11986</v>
      </c>
      <c r="G31" s="8">
        <f>D31/1000</f>
        <v/>
      </c>
      <c r="H31" s="8">
        <f>E31/1000</f>
        <v/>
      </c>
      <c r="I31" s="9">
        <f>IFERROR(D31/F31,"")</f>
        <v/>
      </c>
      <c r="J31" s="10" t="inlineStr"/>
    </row>
    <row r="32">
      <c r="A32" s="11" t="inlineStr">
        <is>
          <t>T-02</t>
        </is>
      </c>
      <c r="B32" s="12" t="n">
        <v>299.8</v>
      </c>
      <c r="C32" s="13" t="n">
        <v>7001</v>
      </c>
      <c r="D32" s="14" t="n">
        <v>17272</v>
      </c>
      <c r="E32" s="14" t="n">
        <v>13772</v>
      </c>
      <c r="F32" s="14" t="n">
        <v>8178</v>
      </c>
      <c r="G32" s="15">
        <f>D32/1000</f>
        <v/>
      </c>
      <c r="H32" s="15">
        <f>E32/1000</f>
        <v/>
      </c>
      <c r="I32" s="16">
        <f>IFERROR(D32/F32,"")</f>
        <v/>
      </c>
      <c r="J32" s="17" t="inlineStr"/>
    </row>
    <row r="33">
      <c r="A33" s="4" t="inlineStr">
        <is>
          <t>T-09</t>
        </is>
      </c>
      <c r="B33" s="5" t="n">
        <v>300.31</v>
      </c>
      <c r="C33" s="6" t="n">
        <v>7000</v>
      </c>
      <c r="D33" s="7" t="n">
        <v>15968</v>
      </c>
      <c r="E33" s="7" t="n">
        <v>12664</v>
      </c>
      <c r="F33" s="7" t="n">
        <v>9125</v>
      </c>
      <c r="G33" s="8">
        <f>D33/1000</f>
        <v/>
      </c>
      <c r="H33" s="8">
        <f>E33/1000</f>
        <v/>
      </c>
      <c r="I33" s="9">
        <f>IFERROR(D33/F33,"")</f>
        <v/>
      </c>
      <c r="J33" s="10" t="inlineStr"/>
    </row>
    <row r="34">
      <c r="A34" s="11" t="inlineStr">
        <is>
          <t>T-22</t>
        </is>
      </c>
      <c r="B34" s="12" t="n">
        <v>58.7</v>
      </c>
      <c r="C34" s="13" t="n">
        <v>4507</v>
      </c>
      <c r="D34" s="14" t="n">
        <v>15912</v>
      </c>
      <c r="E34" s="14" t="n">
        <v>13667</v>
      </c>
      <c r="F34" s="14" t="n">
        <v>11674</v>
      </c>
      <c r="G34" s="15">
        <f>D34/1000</f>
        <v/>
      </c>
      <c r="H34" s="15">
        <f>E34/1000</f>
        <v/>
      </c>
      <c r="I34" s="16">
        <f>IFERROR(D34/F34,"")</f>
        <v/>
      </c>
      <c r="J34" s="17" t="inlineStr"/>
    </row>
    <row r="35">
      <c r="A35" s="4" t="inlineStr">
        <is>
          <t>T-13</t>
        </is>
      </c>
      <c r="B35" s="5" t="n">
        <v>196.28</v>
      </c>
      <c r="C35" s="6" t="n">
        <v>6359</v>
      </c>
      <c r="D35" s="7" t="n">
        <v>15834</v>
      </c>
      <c r="E35" s="7" t="n">
        <v>12664</v>
      </c>
      <c r="F35" s="7" t="n">
        <v>10196</v>
      </c>
      <c r="G35" s="8">
        <f>D35/1000</f>
        <v/>
      </c>
      <c r="H35" s="8">
        <f>E35/1000</f>
        <v/>
      </c>
      <c r="I35" s="9">
        <f>IFERROR(D35/F35,"")</f>
        <v/>
      </c>
      <c r="J35" s="10" t="inlineStr"/>
    </row>
    <row r="36">
      <c r="A36" s="11" t="inlineStr">
        <is>
          <t>T-22A</t>
        </is>
      </c>
      <c r="B36" s="12" t="n">
        <v>131.93</v>
      </c>
      <c r="C36" s="13" t="n">
        <v>5328</v>
      </c>
      <c r="D36" s="14" t="n">
        <v>15638</v>
      </c>
      <c r="E36" s="14" t="n">
        <v>13233</v>
      </c>
      <c r="F36" s="14" t="n">
        <v>11332</v>
      </c>
      <c r="G36" s="15">
        <f>D36/1000</f>
        <v/>
      </c>
      <c r="H36" s="15">
        <f>E36/1000</f>
        <v/>
      </c>
      <c r="I36" s="16">
        <f>IFERROR(D36/F36,"")</f>
        <v/>
      </c>
      <c r="J36" s="17" t="inlineStr"/>
    </row>
    <row r="37">
      <c r="A37" s="4" t="inlineStr">
        <is>
          <t>T-20</t>
        </is>
      </c>
      <c r="B37" s="5" t="n">
        <v>140.68</v>
      </c>
      <c r="C37" s="6" t="n">
        <v>4965</v>
      </c>
      <c r="D37" s="7" t="n">
        <v>15418</v>
      </c>
      <c r="E37" s="7" t="n">
        <v>12956</v>
      </c>
      <c r="F37" s="7" t="n">
        <v>10711</v>
      </c>
      <c r="G37" s="8">
        <f>D37/1000</f>
        <v/>
      </c>
      <c r="H37" s="8">
        <f>E37/1000</f>
        <v/>
      </c>
      <c r="I37" s="9">
        <f>IFERROR(D37/F37,"")</f>
        <v/>
      </c>
      <c r="J37" s="10" t="inlineStr"/>
    </row>
    <row r="38">
      <c r="A38" s="11" t="inlineStr">
        <is>
          <t>T-01C</t>
        </is>
      </c>
      <c r="B38" s="12" t="n">
        <v>302.68</v>
      </c>
      <c r="C38" s="13" t="n">
        <v>6953</v>
      </c>
      <c r="D38" s="14" t="n">
        <v>15271</v>
      </c>
      <c r="E38" s="14" t="n">
        <v>11801</v>
      </c>
      <c r="F38" s="14" t="n">
        <v>6693</v>
      </c>
      <c r="G38" s="15">
        <f>D38/1000</f>
        <v/>
      </c>
      <c r="H38" s="15">
        <f>E38/1000</f>
        <v/>
      </c>
      <c r="I38" s="16">
        <f>IFERROR(D38/F38,"")</f>
        <v/>
      </c>
      <c r="J38" s="17" t="inlineStr"/>
    </row>
    <row r="39">
      <c r="A39" s="4" t="inlineStr">
        <is>
          <t>T-20S</t>
        </is>
      </c>
      <c r="B39" s="5" t="n">
        <v>58.94</v>
      </c>
      <c r="C39" s="6" t="n">
        <v>3772</v>
      </c>
      <c r="D39" s="7" t="n">
        <v>14434</v>
      </c>
      <c r="E39" s="7" t="n">
        <v>12558</v>
      </c>
      <c r="F39" s="7" t="n">
        <v>10512</v>
      </c>
      <c r="G39" s="8">
        <f>D39/1000</f>
        <v/>
      </c>
      <c r="H39" s="8">
        <f>E39/1000</f>
        <v/>
      </c>
      <c r="I39" s="9">
        <f>IFERROR(D39/F39,"")</f>
        <v/>
      </c>
      <c r="J39" s="10" t="inlineStr"/>
    </row>
    <row r="40">
      <c r="A40" s="11" t="inlineStr">
        <is>
          <t>T-12</t>
        </is>
      </c>
      <c r="B40" s="12" t="n">
        <v>174.68</v>
      </c>
      <c r="C40" s="13" t="n">
        <v>5276</v>
      </c>
      <c r="D40" s="14" t="n">
        <v>14095</v>
      </c>
      <c r="E40" s="14" t="n">
        <v>11481</v>
      </c>
      <c r="F40" s="14" t="n">
        <v>9459</v>
      </c>
      <c r="G40" s="15">
        <f>D40/1000</f>
        <v/>
      </c>
      <c r="H40" s="15">
        <f>E40/1000</f>
        <v/>
      </c>
      <c r="I40" s="16">
        <f>IFERROR(D40/F40,"")</f>
        <v/>
      </c>
      <c r="J40" s="17" t="inlineStr"/>
    </row>
    <row r="41">
      <c r="A41" s="4" t="inlineStr">
        <is>
          <t>T-01B</t>
        </is>
      </c>
      <c r="B41" s="5" t="n">
        <v>65</v>
      </c>
      <c r="C41" s="6" t="n">
        <v>3845</v>
      </c>
      <c r="D41" s="7" t="n">
        <v>14083</v>
      </c>
      <c r="E41" s="7" t="n">
        <v>12208</v>
      </c>
      <c r="F41" s="7" t="n">
        <v>6902</v>
      </c>
      <c r="G41" s="8">
        <f>D41/1000</f>
        <v/>
      </c>
      <c r="H41" s="8">
        <f>E41/1000</f>
        <v/>
      </c>
      <c r="I41" s="9">
        <f>IFERROR(D41/F41,"")</f>
        <v/>
      </c>
      <c r="J41" s="10" t="inlineStr"/>
    </row>
    <row r="42">
      <c r="A42" s="11" t="inlineStr">
        <is>
          <t>T-21</t>
        </is>
      </c>
      <c r="B42" s="12" t="n">
        <v>60.19</v>
      </c>
      <c r="C42" s="13" t="n">
        <v>3809</v>
      </c>
      <c r="D42" s="14" t="n">
        <v>14051</v>
      </c>
      <c r="E42" s="14" t="n">
        <v>12160</v>
      </c>
      <c r="F42" s="14" t="n">
        <v>10313</v>
      </c>
      <c r="G42" s="15">
        <f>D42/1000</f>
        <v/>
      </c>
      <c r="H42" s="15">
        <f>E42/1000</f>
        <v/>
      </c>
      <c r="I42" s="16">
        <f>IFERROR(D42/F42,"")</f>
        <v/>
      </c>
      <c r="J42" s="17" t="inlineStr"/>
    </row>
    <row r="43">
      <c r="A43" s="4" t="inlineStr">
        <is>
          <t>T-10B</t>
        </is>
      </c>
      <c r="B43" s="5" t="n">
        <v>177.61</v>
      </c>
      <c r="C43" s="6" t="n">
        <v>5367</v>
      </c>
      <c r="D43" s="7" t="n">
        <v>13969</v>
      </c>
      <c r="E43" s="7" t="n">
        <v>11481</v>
      </c>
      <c r="F43" s="7" t="n">
        <v>8285</v>
      </c>
      <c r="G43" s="8">
        <f>D43/1000</f>
        <v/>
      </c>
      <c r="H43" s="8">
        <f>E43/1000</f>
        <v/>
      </c>
      <c r="I43" s="9">
        <f>IFERROR(D43/F43,"")</f>
        <v/>
      </c>
      <c r="J43" s="10" t="inlineStr"/>
    </row>
    <row r="44">
      <c r="A44" s="11" t="inlineStr">
        <is>
          <t>T-21A</t>
        </is>
      </c>
      <c r="B44" s="12" t="n">
        <v>124</v>
      </c>
      <c r="C44" s="13" t="n">
        <v>4814</v>
      </c>
      <c r="D44" s="14" t="n">
        <v>13916</v>
      </c>
      <c r="E44" s="14" t="n">
        <v>11664</v>
      </c>
      <c r="F44" s="14" t="n">
        <v>9977</v>
      </c>
      <c r="G44" s="15">
        <f>D44/1000</f>
        <v/>
      </c>
      <c r="H44" s="15">
        <f>E44/1000</f>
        <v/>
      </c>
      <c r="I44" s="16">
        <f>IFERROR(D44/F44,"")</f>
        <v/>
      </c>
      <c r="J44" s="17" t="inlineStr"/>
    </row>
    <row r="45">
      <c r="A45" s="4" t="inlineStr">
        <is>
          <t>T-01A</t>
        </is>
      </c>
      <c r="B45" s="5" t="n">
        <v>60.51</v>
      </c>
      <c r="C45" s="6" t="n">
        <v>3703</v>
      </c>
      <c r="D45" s="7" t="n">
        <v>13651</v>
      </c>
      <c r="E45" s="7" t="n">
        <v>11808</v>
      </c>
      <c r="F45" s="7" t="n">
        <v>6700</v>
      </c>
      <c r="G45" s="8">
        <f>D45/1000</f>
        <v/>
      </c>
      <c r="H45" s="8">
        <f>E45/1000</f>
        <v/>
      </c>
      <c r="I45" s="9">
        <f>IFERROR(D45/F45,"")</f>
        <v/>
      </c>
      <c r="J45" s="10" t="inlineStr"/>
    </row>
    <row r="46">
      <c r="A46" s="11" t="inlineStr">
        <is>
          <t>T-12S</t>
        </is>
      </c>
      <c r="B46" s="12" t="n">
        <v>59.61</v>
      </c>
      <c r="C46" s="13" t="n">
        <v>3784</v>
      </c>
      <c r="D46" s="14" t="n">
        <v>12948</v>
      </c>
      <c r="E46" s="14" t="n">
        <v>11072</v>
      </c>
      <c r="F46" s="14" t="n">
        <v>9228</v>
      </c>
      <c r="G46" s="15">
        <f>D46/1000</f>
        <v/>
      </c>
      <c r="H46" s="15">
        <f>E46/1000</f>
        <v/>
      </c>
      <c r="I46" s="16">
        <f>IFERROR(D46/F46,"")</f>
        <v/>
      </c>
      <c r="J46" s="17" t="inlineStr"/>
    </row>
    <row r="47">
      <c r="A47" s="4" t="inlineStr">
        <is>
          <t>T-10S</t>
        </is>
      </c>
      <c r="B47" s="5" t="n">
        <v>60.87</v>
      </c>
      <c r="C47" s="6" t="n">
        <v>3801</v>
      </c>
      <c r="D47" s="7" t="n">
        <v>12767</v>
      </c>
      <c r="E47" s="7" t="n">
        <v>11069</v>
      </c>
      <c r="F47" s="7" t="n">
        <v>8017</v>
      </c>
      <c r="G47" s="8">
        <f>D47/1000</f>
        <v/>
      </c>
      <c r="H47" s="8">
        <f>E47/1000</f>
        <v/>
      </c>
      <c r="I47" s="9">
        <f>IFERROR(D47/F47,"")</f>
        <v/>
      </c>
      <c r="J47" s="10" t="inlineStr"/>
    </row>
    <row r="48">
      <c r="A48" s="11" t="inlineStr">
        <is>
          <t>T-11</t>
        </is>
      </c>
      <c r="B48" s="12" t="n">
        <v>59.79</v>
      </c>
      <c r="C48" s="13" t="n">
        <v>3770</v>
      </c>
      <c r="D48" s="14" t="n">
        <v>12552</v>
      </c>
      <c r="E48" s="14" t="n">
        <v>10674</v>
      </c>
      <c r="F48" s="14" t="n">
        <v>9014</v>
      </c>
      <c r="G48" s="15">
        <f>D48/1000</f>
        <v/>
      </c>
      <c r="H48" s="15">
        <f>E48/1000</f>
        <v/>
      </c>
      <c r="I48" s="16">
        <f>IFERROR(D48/F48,"")</f>
        <v/>
      </c>
      <c r="J48" s="17" t="inlineStr"/>
    </row>
    <row r="49">
      <c r="A49" s="4" t="inlineStr">
        <is>
          <t>T-10A</t>
        </is>
      </c>
      <c r="B49" s="5" t="n">
        <v>80.13</v>
      </c>
      <c r="C49" s="6" t="n">
        <v>4466</v>
      </c>
      <c r="D49" s="7" t="n">
        <v>12363</v>
      </c>
      <c r="E49" s="7" t="n">
        <v>10156</v>
      </c>
      <c r="F49" s="7" t="n">
        <v>7792</v>
      </c>
      <c r="G49" s="8">
        <f>D49/1000</f>
        <v/>
      </c>
      <c r="H49" s="8">
        <f>E49/1000</f>
        <v/>
      </c>
      <c r="I49" s="9">
        <f>IFERROR(D49/F49,"")</f>
        <v/>
      </c>
      <c r="J49" s="10" t="inlineStr"/>
    </row>
    <row r="50">
      <c r="A50" s="11" t="inlineStr">
        <is>
          <t>T-11A</t>
        </is>
      </c>
      <c r="B50" s="12" t="n">
        <v>113.78</v>
      </c>
      <c r="C50" s="13" t="n">
        <v>4554</v>
      </c>
      <c r="D50" s="14" t="n">
        <v>12305</v>
      </c>
      <c r="E50" s="14" t="n">
        <v>10165</v>
      </c>
      <c r="F50" s="14" t="n">
        <v>8753</v>
      </c>
      <c r="G50" s="15">
        <f>D50/1000</f>
        <v/>
      </c>
      <c r="H50" s="15">
        <f>E50/1000</f>
        <v/>
      </c>
      <c r="I50" s="16">
        <f>IFERROR(D50/F50,"")</f>
        <v/>
      </c>
      <c r="J50" s="17" t="inlineStr"/>
    </row>
    <row r="51">
      <c r="A51" s="4" t="inlineStr">
        <is>
          <t>T-25</t>
        </is>
      </c>
      <c r="B51" s="5" t="n">
        <v>19.78</v>
      </c>
      <c r="C51" s="6" t="n">
        <v>2018</v>
      </c>
      <c r="D51" s="7" t="n">
        <v>10645</v>
      </c>
      <c r="E51" s="7" t="n">
        <v>9642</v>
      </c>
      <c r="F51" s="7" t="n">
        <v>8848</v>
      </c>
      <c r="G51" s="8">
        <f>D51/1000</f>
        <v/>
      </c>
      <c r="H51" s="8">
        <f>E51/1000</f>
        <v/>
      </c>
      <c r="I51" s="9">
        <f>IFERROR(D51/F51,"")</f>
        <v/>
      </c>
      <c r="J51" s="10" t="inlineStr"/>
    </row>
    <row r="52">
      <c r="A52" s="11" t="inlineStr">
        <is>
          <t>T-27</t>
        </is>
      </c>
      <c r="B52" s="12" t="n">
        <v>70.98</v>
      </c>
      <c r="C52" s="13" t="n">
        <v>3651</v>
      </c>
      <c r="D52" s="14" t="n">
        <v>10341</v>
      </c>
      <c r="E52" s="14" t="n">
        <v>8544</v>
      </c>
      <c r="F52" s="14" t="n">
        <v>7484</v>
      </c>
      <c r="G52" s="15">
        <f>D52/1000</f>
        <v/>
      </c>
      <c r="H52" s="15">
        <f>E52/1000</f>
        <v/>
      </c>
      <c r="I52" s="16">
        <f>IFERROR(D52/F52,"")</f>
        <v/>
      </c>
      <c r="J52" s="17" t="inlineStr"/>
    </row>
    <row r="53">
      <c r="A53" s="4" t="inlineStr">
        <is>
          <t>T-26</t>
        </is>
      </c>
      <c r="B53" s="5" t="n">
        <v>18.11</v>
      </c>
      <c r="C53" s="6" t="n">
        <v>1911</v>
      </c>
      <c r="D53" s="7" t="n">
        <v>10203</v>
      </c>
      <c r="E53" s="7" t="n">
        <v>9546</v>
      </c>
      <c r="F53" s="7" t="n">
        <v>8310</v>
      </c>
      <c r="G53" s="8">
        <f>D53/1000</f>
        <v/>
      </c>
      <c r="H53" s="8">
        <f>E53/1000</f>
        <v/>
      </c>
      <c r="I53" s="9">
        <f>IFERROR(D53/F53,"")</f>
        <v/>
      </c>
      <c r="J53" s="10" t="inlineStr"/>
    </row>
    <row r="54">
      <c r="A54" s="11" t="inlineStr">
        <is>
          <t>T-28</t>
        </is>
      </c>
      <c r="B54" s="12" t="n">
        <v>88.51000000000001</v>
      </c>
      <c r="C54" s="13" t="n">
        <v>3848</v>
      </c>
      <c r="D54" s="14" t="n">
        <v>9761</v>
      </c>
      <c r="E54" s="14" t="n">
        <v>8591</v>
      </c>
      <c r="F54" s="14" t="n">
        <v>6820</v>
      </c>
      <c r="G54" s="15">
        <f>D54/1000</f>
        <v/>
      </c>
      <c r="H54" s="15">
        <f>E54/1000</f>
        <v/>
      </c>
      <c r="I54" s="16">
        <f>IFERROR(D54/F54,"")</f>
        <v/>
      </c>
      <c r="J54" s="17" t="inlineStr"/>
    </row>
    <row r="55">
      <c r="A55" s="4" t="inlineStr">
        <is>
          <t>T-29</t>
        </is>
      </c>
      <c r="B55" s="5" t="n">
        <v>75.31</v>
      </c>
      <c r="C55" s="6" t="n">
        <v>3891</v>
      </c>
      <c r="D55" s="7" t="n">
        <v>9346</v>
      </c>
      <c r="E55" s="7" t="n">
        <v>7427</v>
      </c>
      <c r="F55" s="7" t="n">
        <v>6142</v>
      </c>
      <c r="G55" s="8">
        <f>D55/1000</f>
        <v/>
      </c>
      <c r="H55" s="8">
        <f>E55/1000</f>
        <v/>
      </c>
      <c r="I55" s="9">
        <f>IFERROR(D55/F55,"")</f>
        <v/>
      </c>
      <c r="J55" s="10" t="inlineStr"/>
    </row>
    <row r="57">
      <c r="A57" s="18" t="inlineStr">
        <is>
          <t>TOTAL / MÁXIMO</t>
        </is>
      </c>
      <c r="B57" s="19">
        <f>SUM(B5:B55)</f>
        <v/>
      </c>
      <c r="D57" s="20">
        <f>MAX(IFERROR(D5:D55*1,0))</f>
        <v/>
      </c>
      <c r="G57" s="21">
        <f>IFERROR(MAX(G5:G55),"")</f>
        <v/>
      </c>
      <c r="I57" s="22">
        <f>IFERROR(AVERAGE(I5:I55),"")</f>
        <v/>
      </c>
    </row>
    <row r="58">
      <c r="A58" s="23" t="inlineStr">
        <is>
          <t>Fundo amarelo = precisa de conferência: fator ≥ 3,0, ligação suposta, ou talhão sem estrada. Veja a coluna Observação.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24" t="inlineStr">
        <is>
          <t>Como estes números foram calculados</t>
        </is>
      </c>
    </row>
    <row r="3" ht="30" customHeight="1">
      <c r="A3" s="25" t="inlineStr">
        <is>
          <t>Origem</t>
        </is>
      </c>
      <c r="B3" s="26" t="inlineStr">
        <is>
          <t>Ponto de sede do projeto do Google Earth (-13.586393, -57.555499).</t>
        </is>
      </c>
    </row>
    <row r="4" ht="30" customHeight="1">
      <c r="A4" s="25" t="inlineStr">
        <is>
          <t>Talhões</t>
        </is>
      </c>
      <c r="B4" s="26" t="inlineStr">
        <is>
          <t>51 polígonos da pasta FAZENDA P.PEDRA.</t>
        </is>
      </c>
    </row>
    <row r="5" ht="30" customHeight="1">
      <c r="A5" s="25" t="inlineStr">
        <is>
          <t>Malha de estradas</t>
        </is>
      </c>
      <c r="B5" s="26" t="inlineStr">
        <is>
          <t>Divisas dos talhões (os carreadores correm nas divisas), costuradas onde talhões vizinhos são separados pela faixa do carreador (até 45 m), mais as estradas de dados/estradas_extra.json.</t>
        </is>
      </c>
    </row>
    <row r="6" ht="30" customHeight="1">
      <c r="A6" s="25" t="inlineStr">
        <is>
          <t>Dist. máxima</t>
        </is>
      </c>
      <c r="B6" s="26" t="inlineStr">
        <is>
          <t>Menor caminho pela estrada, da sede até o ponto MAIS EXTREMO do perímetro do talhão. Não corta por dentro da lavoura.</t>
        </is>
      </c>
    </row>
    <row r="7" ht="30" customHeight="1">
      <c r="A7" s="25" t="inlineStr">
        <is>
          <t>Dist. mínima</t>
        </is>
      </c>
      <c r="B7" s="26" t="inlineStr">
        <is>
          <t>Menor caminho pela estrada, da sede até o ponto de acesso mais próximo.</t>
        </is>
      </c>
    </row>
    <row r="8" ht="30" customHeight="1">
      <c r="A8" s="25" t="inlineStr">
        <is>
          <t>Linha reta</t>
        </is>
      </c>
      <c r="B8" s="26" t="inlineStr">
        <is>
          <t>Distância em linha reta da sede até a borda do talhão. Só referência.</t>
        </is>
      </c>
    </row>
    <row r="9" ht="30" customHeight="1">
      <c r="A9" s="25" t="inlineStr">
        <is>
          <t>Fator</t>
        </is>
      </c>
      <c r="B9" s="26" t="inlineStr">
        <is>
          <t>Dist. máxima ÷ linha reta. Fator alto = rota indireta, ou estrada faltando na malha.</t>
        </is>
      </c>
    </row>
    <row r="10" ht="30" customHeight="1">
      <c r="A10" s="25" t="inlineStr">
        <is>
          <t>Coordenadas</t>
        </is>
      </c>
      <c r="B10" s="26" t="inlineStr">
        <is>
          <t>SIRGAS 2000 / UTM 21S (EPSG:31981) para distâncias e áreas.</t>
        </is>
      </c>
    </row>
    <row r="11" ht="30" customHeight="1">
      <c r="A11" s="25" t="inlineStr">
        <is>
          <t>Resolução</t>
        </is>
      </c>
      <c r="B11" s="26" t="inlineStr">
        <is>
          <t>Malha densificada a cada 25 m — é a precisão do 'ponto mais extremo'.</t>
        </is>
      </c>
    </row>
    <row r="12" ht="30" customHeight="1">
      <c r="A12" s="25" t="inlineStr">
        <is>
          <t>Validação</t>
        </is>
      </c>
      <c r="B12" s="26" t="inlineStr">
        <is>
          <t>A malha precisa ser conferida por quem roda a fazenda. Use o arquivo _bancada.html.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2026-09-15T15:50:43Z</dcterms:created>
  <dcterms:modified xmlns:dcterms="http://purl.org/dc/terms/" xmlns:xsi="http://www.w3.org/2001/XMLSchema-instance" xsi:type="dcterms:W3CDTF">2026-09-15T15:50:43Z</dcterms:modified>
</cp:coreProperties>
</file>