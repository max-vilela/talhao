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JAVA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T-13C</t>
        </is>
      </c>
      <c r="B5" s="5" t="n">
        <v>54.2</v>
      </c>
      <c r="C5" s="6" t="n">
        <v>2992</v>
      </c>
      <c r="D5" s="7" t="n">
        <v>20464</v>
      </c>
      <c r="E5" s="7" t="n">
        <v>19016</v>
      </c>
      <c r="F5" s="7" t="n">
        <v>11982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T-11B</t>
        </is>
      </c>
      <c r="B6" s="12" t="n">
        <v>46.69</v>
      </c>
      <c r="C6" s="13" t="n">
        <v>3078</v>
      </c>
      <c r="D6" s="14" t="n">
        <v>20181</v>
      </c>
      <c r="E6" s="14" t="n">
        <v>18905</v>
      </c>
      <c r="F6" s="14" t="n">
        <v>11323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T-13D</t>
        </is>
      </c>
      <c r="B7" s="5" t="n">
        <v>61.56</v>
      </c>
      <c r="C7" s="6" t="n">
        <v>3161</v>
      </c>
      <c r="D7" s="7" t="n">
        <v>19770</v>
      </c>
      <c r="E7" s="7" t="n">
        <v>18214</v>
      </c>
      <c r="F7" s="7" t="n">
        <v>11726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T-13B</t>
        </is>
      </c>
      <c r="B8" s="12" t="n">
        <v>58.52</v>
      </c>
      <c r="C8" s="13" t="n">
        <v>3110</v>
      </c>
      <c r="D8" s="14" t="n">
        <v>19740</v>
      </c>
      <c r="E8" s="14" t="n">
        <v>18228</v>
      </c>
      <c r="F8" s="14" t="n">
        <v>11159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T-11C</t>
        </is>
      </c>
      <c r="B9" s="5" t="n">
        <v>52.01</v>
      </c>
      <c r="C9" s="6" t="n">
        <v>3100</v>
      </c>
      <c r="D9" s="7" t="n">
        <v>19716</v>
      </c>
      <c r="E9" s="7" t="n">
        <v>18190</v>
      </c>
      <c r="F9" s="7" t="n">
        <v>10871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T-11A</t>
        </is>
      </c>
      <c r="B10" s="12" t="n">
        <v>61.24</v>
      </c>
      <c r="C10" s="13" t="n">
        <v>3271</v>
      </c>
      <c r="D10" s="14" t="n">
        <v>19672</v>
      </c>
      <c r="E10" s="14" t="n">
        <v>18208</v>
      </c>
      <c r="F10" s="14" t="n">
        <v>11475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T-12A</t>
        </is>
      </c>
      <c r="B11" s="5" t="n">
        <v>263.78</v>
      </c>
      <c r="C11" s="6" t="n">
        <v>6934</v>
      </c>
      <c r="D11" s="7" t="n">
        <v>19151</v>
      </c>
      <c r="E11" s="7" t="n">
        <v>15815</v>
      </c>
      <c r="F11" s="7" t="n">
        <v>9384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T-11D</t>
        </is>
      </c>
      <c r="B12" s="12" t="n">
        <v>70.47</v>
      </c>
      <c r="C12" s="13" t="n">
        <v>3481</v>
      </c>
      <c r="D12" s="14" t="n">
        <v>19053</v>
      </c>
      <c r="E12" s="14" t="n">
        <v>17474</v>
      </c>
      <c r="F12" s="14" t="n">
        <v>10886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T-13A</t>
        </is>
      </c>
      <c r="B13" s="5" t="n">
        <v>53.65</v>
      </c>
      <c r="C13" s="6" t="n">
        <v>3197</v>
      </c>
      <c r="D13" s="7" t="n">
        <v>18998</v>
      </c>
      <c r="E13" s="7" t="n">
        <v>17624</v>
      </c>
      <c r="F13" s="7" t="n">
        <v>11107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T-10A</t>
        </is>
      </c>
      <c r="B14" s="12" t="n">
        <v>67.81999999999999</v>
      </c>
      <c r="C14" s="13" t="n">
        <v>4140</v>
      </c>
      <c r="D14" s="14" t="n">
        <v>18466</v>
      </c>
      <c r="E14" s="14" t="n">
        <v>16421</v>
      </c>
      <c r="F14" s="14" t="n">
        <v>10009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T-14A</t>
        </is>
      </c>
      <c r="B15" s="5" t="n">
        <v>99.15000000000001</v>
      </c>
      <c r="C15" s="6" t="n">
        <v>4640</v>
      </c>
      <c r="D15" s="7" t="n">
        <v>16735</v>
      </c>
      <c r="E15" s="7" t="n">
        <v>14456</v>
      </c>
      <c r="F15" s="7" t="n">
        <v>8248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T-14D</t>
        </is>
      </c>
      <c r="B16" s="12" t="n">
        <v>96.37</v>
      </c>
      <c r="C16" s="13" t="n">
        <v>4536</v>
      </c>
      <c r="D16" s="14" t="n">
        <v>16730</v>
      </c>
      <c r="E16" s="14" t="n">
        <v>14471</v>
      </c>
      <c r="F16" s="14" t="n">
        <v>8256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T-15B</t>
        </is>
      </c>
      <c r="B17" s="5" t="n">
        <v>143</v>
      </c>
      <c r="C17" s="6" t="n">
        <v>5499</v>
      </c>
      <c r="D17" s="7" t="n">
        <v>16283</v>
      </c>
      <c r="E17" s="7" t="n">
        <v>14217</v>
      </c>
      <c r="F17" s="7" t="n">
        <v>8307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1" t="inlineStr">
        <is>
          <t>T-05</t>
        </is>
      </c>
      <c r="B18" s="12" t="n">
        <v>114.01</v>
      </c>
      <c r="C18" s="13" t="n">
        <v>5071</v>
      </c>
      <c r="D18" s="14" t="n">
        <v>15153</v>
      </c>
      <c r="E18" s="14" t="n">
        <v>12712</v>
      </c>
      <c r="F18" s="14" t="n">
        <v>9352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4" t="inlineStr">
        <is>
          <t>T-07C</t>
        </is>
      </c>
      <c r="B19" s="5" t="n">
        <v>54.78</v>
      </c>
      <c r="C19" s="6" t="n">
        <v>3399</v>
      </c>
      <c r="D19" s="7" t="n">
        <v>15117</v>
      </c>
      <c r="E19" s="7" t="n">
        <v>13471</v>
      </c>
      <c r="F19" s="7" t="n">
        <v>9205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T-15C</t>
        </is>
      </c>
      <c r="B20" s="12" t="n">
        <v>95.86</v>
      </c>
      <c r="C20" s="13" t="n">
        <v>4455</v>
      </c>
      <c r="D20" s="14" t="n">
        <v>15107</v>
      </c>
      <c r="E20" s="14" t="n">
        <v>12892</v>
      </c>
      <c r="F20" s="14" t="n">
        <v>7221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T-09B</t>
        </is>
      </c>
      <c r="B21" s="5" t="n">
        <v>51.45</v>
      </c>
      <c r="C21" s="6" t="n">
        <v>3530</v>
      </c>
      <c r="D21" s="7" t="n">
        <v>15023</v>
      </c>
      <c r="E21" s="7" t="n">
        <v>13321</v>
      </c>
      <c r="F21" s="7" t="n">
        <v>9210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T-07B</t>
        </is>
      </c>
      <c r="B22" s="12" t="n">
        <v>63.94</v>
      </c>
      <c r="C22" s="13" t="n">
        <v>3736</v>
      </c>
      <c r="D22" s="14" t="n">
        <v>14672</v>
      </c>
      <c r="E22" s="14" t="n">
        <v>13120</v>
      </c>
      <c r="F22" s="14" t="n">
        <v>9056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T-09A</t>
        </is>
      </c>
      <c r="B23" s="5" t="n">
        <v>51.15</v>
      </c>
      <c r="C23" s="6" t="n">
        <v>3147</v>
      </c>
      <c r="D23" s="7" t="n">
        <v>14388</v>
      </c>
      <c r="E23" s="7" t="n">
        <v>12832</v>
      </c>
      <c r="F23" s="7" t="n">
        <v>8842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T-01C</t>
        </is>
      </c>
      <c r="B24" s="12" t="n">
        <v>114.58</v>
      </c>
      <c r="C24" s="13" t="n">
        <v>5085</v>
      </c>
      <c r="D24" s="14" t="n">
        <v>14152</v>
      </c>
      <c r="E24" s="14" t="n">
        <v>11745</v>
      </c>
      <c r="F24" s="14" t="n">
        <v>8501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4" t="inlineStr">
        <is>
          <t>T-07D</t>
        </is>
      </c>
      <c r="B25" s="5" t="n">
        <v>43.25</v>
      </c>
      <c r="C25" s="6" t="n">
        <v>3108</v>
      </c>
      <c r="D25" s="7" t="n">
        <v>14108</v>
      </c>
      <c r="E25" s="7" t="n">
        <v>12595</v>
      </c>
      <c r="F25" s="7" t="n">
        <v>8461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/>
    </row>
    <row r="26">
      <c r="A26" s="11" t="inlineStr">
        <is>
          <t>T-03A</t>
        </is>
      </c>
      <c r="B26" s="12" t="n">
        <v>108.06</v>
      </c>
      <c r="C26" s="13" t="n">
        <v>5283</v>
      </c>
      <c r="D26" s="14" t="n">
        <v>14094</v>
      </c>
      <c r="E26" s="14" t="n">
        <v>11784</v>
      </c>
      <c r="F26" s="14" t="n">
        <v>9732</v>
      </c>
      <c r="G26" s="15">
        <f>D26/1000</f>
        <v/>
      </c>
      <c r="H26" s="15">
        <f>E26/1000</f>
        <v/>
      </c>
      <c r="I26" s="16">
        <f>IFERROR(D26/F26,"")</f>
        <v/>
      </c>
      <c r="J26" s="17" t="inlineStr"/>
    </row>
    <row r="27">
      <c r="A27" s="4" t="inlineStr">
        <is>
          <t>T-01A</t>
        </is>
      </c>
      <c r="B27" s="5" t="n">
        <v>109.74</v>
      </c>
      <c r="C27" s="6" t="n">
        <v>5134</v>
      </c>
      <c r="D27" s="7" t="n">
        <v>13766</v>
      </c>
      <c r="E27" s="7" t="n">
        <v>11788</v>
      </c>
      <c r="F27" s="7" t="n">
        <v>10367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/>
    </row>
    <row r="28">
      <c r="A28" s="11" t="inlineStr">
        <is>
          <t>T-07A</t>
        </is>
      </c>
      <c r="B28" s="12" t="n">
        <v>50.64</v>
      </c>
      <c r="C28" s="13" t="n">
        <v>3002</v>
      </c>
      <c r="D28" s="14" t="n">
        <v>13708</v>
      </c>
      <c r="E28" s="14" t="n">
        <v>12426</v>
      </c>
      <c r="F28" s="14" t="n">
        <v>8442</v>
      </c>
      <c r="G28" s="15">
        <f>D28/1000</f>
        <v/>
      </c>
      <c r="H28" s="15">
        <f>E28/1000</f>
        <v/>
      </c>
      <c r="I28" s="16">
        <f>IFERROR(D28/F28,"")</f>
        <v/>
      </c>
      <c r="J28" s="17" t="inlineStr"/>
    </row>
    <row r="29">
      <c r="A29" s="4" t="inlineStr">
        <is>
          <t>T-06D</t>
        </is>
      </c>
      <c r="B29" s="5" t="n">
        <v>148.91</v>
      </c>
      <c r="C29" s="6" t="n">
        <v>5858</v>
      </c>
      <c r="D29" s="7" t="n">
        <v>13105</v>
      </c>
      <c r="E29" s="7" t="n">
        <v>10780</v>
      </c>
      <c r="F29" s="7" t="n">
        <v>7712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11" t="inlineStr">
        <is>
          <t>T-06E</t>
        </is>
      </c>
      <c r="B30" s="12" t="n">
        <v>264.72</v>
      </c>
      <c r="C30" s="13" t="n">
        <v>6929</v>
      </c>
      <c r="D30" s="14" t="n">
        <v>13103</v>
      </c>
      <c r="E30" s="14" t="n">
        <v>9805</v>
      </c>
      <c r="F30" s="14" t="n">
        <v>6957</v>
      </c>
      <c r="G30" s="15">
        <f>D30/1000</f>
        <v/>
      </c>
      <c r="H30" s="15">
        <f>E30/1000</f>
        <v/>
      </c>
      <c r="I30" s="16">
        <f>IFERROR(D30/F30,"")</f>
        <v/>
      </c>
      <c r="J30" s="17" t="inlineStr"/>
    </row>
    <row r="31">
      <c r="A31" s="4" t="inlineStr">
        <is>
          <t>T-06B</t>
        </is>
      </c>
      <c r="B31" s="5" t="n">
        <v>73.88</v>
      </c>
      <c r="C31" s="6" t="n">
        <v>4134</v>
      </c>
      <c r="D31" s="7" t="n">
        <v>13096</v>
      </c>
      <c r="E31" s="7" t="n">
        <v>11681</v>
      </c>
      <c r="F31" s="7" t="n">
        <v>7712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/>
    </row>
    <row r="32">
      <c r="A32" s="11" t="inlineStr">
        <is>
          <t>T-03B</t>
        </is>
      </c>
      <c r="B32" s="12" t="n">
        <v>113.04</v>
      </c>
      <c r="C32" s="13" t="n">
        <v>5041</v>
      </c>
      <c r="D32" s="14" t="n">
        <v>13024</v>
      </c>
      <c r="E32" s="14" t="n">
        <v>10827</v>
      </c>
      <c r="F32" s="14" t="n">
        <v>8850</v>
      </c>
      <c r="G32" s="15">
        <f>D32/1000</f>
        <v/>
      </c>
      <c r="H32" s="15">
        <f>E32/1000</f>
        <v/>
      </c>
      <c r="I32" s="16">
        <f>IFERROR(D32/F32,"")</f>
        <v/>
      </c>
      <c r="J32" s="17" t="inlineStr"/>
    </row>
    <row r="33">
      <c r="A33" s="4" t="inlineStr">
        <is>
          <t>T-01</t>
        </is>
      </c>
      <c r="B33" s="5" t="n">
        <v>110.23</v>
      </c>
      <c r="C33" s="6" t="n">
        <v>5065</v>
      </c>
      <c r="D33" s="7" t="n">
        <v>12784</v>
      </c>
      <c r="E33" s="7" t="n">
        <v>10868</v>
      </c>
      <c r="F33" s="7" t="n">
        <v>9477</v>
      </c>
      <c r="G33" s="8">
        <f>D33/1000</f>
        <v/>
      </c>
      <c r="H33" s="8">
        <f>E33/1000</f>
        <v/>
      </c>
      <c r="I33" s="9">
        <f>IFERROR(D33/F33,"")</f>
        <v/>
      </c>
      <c r="J33" s="10" t="inlineStr"/>
    </row>
    <row r="34">
      <c r="A34" s="11" t="inlineStr">
        <is>
          <t>T-08A</t>
        </is>
      </c>
      <c r="B34" s="12" t="n">
        <v>14.18</v>
      </c>
      <c r="C34" s="13" t="n">
        <v>1756</v>
      </c>
      <c r="D34" s="14" t="n">
        <v>12754</v>
      </c>
      <c r="E34" s="14" t="n">
        <v>11882</v>
      </c>
      <c r="F34" s="14" t="n">
        <v>7912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4" t="inlineStr">
        <is>
          <t>T-06C</t>
        </is>
      </c>
      <c r="B35" s="5" t="n">
        <v>31.74</v>
      </c>
      <c r="C35" s="6" t="n">
        <v>2739</v>
      </c>
      <c r="D35" s="7" t="n">
        <v>12715</v>
      </c>
      <c r="E35" s="7" t="n">
        <v>11352</v>
      </c>
      <c r="F35" s="7" t="n">
        <v>7775</v>
      </c>
      <c r="G35" s="8">
        <f>D35/1000</f>
        <v/>
      </c>
      <c r="H35" s="8">
        <f>E35/1000</f>
        <v/>
      </c>
      <c r="I35" s="9">
        <f>IFERROR(D35/F35,"")</f>
        <v/>
      </c>
      <c r="J35" s="10" t="inlineStr"/>
    </row>
    <row r="36">
      <c r="A36" s="11" t="inlineStr">
        <is>
          <t>T-04A</t>
        </is>
      </c>
      <c r="B36" s="12" t="n">
        <v>100.42</v>
      </c>
      <c r="C36" s="13" t="n">
        <v>5093</v>
      </c>
      <c r="D36" s="14" t="n">
        <v>12054</v>
      </c>
      <c r="E36" s="14" t="n">
        <v>9975</v>
      </c>
      <c r="F36" s="14" t="n">
        <v>7977</v>
      </c>
      <c r="G36" s="15">
        <f>D36/1000</f>
        <v/>
      </c>
      <c r="H36" s="15">
        <f>E36/1000</f>
        <v/>
      </c>
      <c r="I36" s="16">
        <f>IFERROR(D36/F36,"")</f>
        <v/>
      </c>
      <c r="J36" s="17" t="inlineStr"/>
    </row>
    <row r="37">
      <c r="A37" s="4" t="inlineStr">
        <is>
          <t>T-04B</t>
        </is>
      </c>
      <c r="B37" s="5" t="n">
        <v>51.93</v>
      </c>
      <c r="C37" s="6" t="n">
        <v>3411</v>
      </c>
      <c r="D37" s="7" t="n">
        <v>12053</v>
      </c>
      <c r="E37" s="7" t="n">
        <v>10771</v>
      </c>
      <c r="F37" s="7" t="n">
        <v>7991</v>
      </c>
      <c r="G37" s="8">
        <f>D37/1000</f>
        <v/>
      </c>
      <c r="H37" s="8">
        <f>E37/1000</f>
        <v/>
      </c>
      <c r="I37" s="9">
        <f>IFERROR(D37/F37,"")</f>
        <v/>
      </c>
      <c r="J37" s="10" t="inlineStr"/>
    </row>
    <row r="38">
      <c r="A38" s="11" t="inlineStr">
        <is>
          <t>T-02</t>
        </is>
      </c>
      <c r="B38" s="12" t="n">
        <v>210.74</v>
      </c>
      <c r="C38" s="13" t="n">
        <v>9468</v>
      </c>
      <c r="D38" s="14" t="n">
        <v>11735</v>
      </c>
      <c r="E38" s="14" t="n">
        <v>8876</v>
      </c>
      <c r="F38" s="14" t="n">
        <v>7561</v>
      </c>
      <c r="G38" s="15">
        <f>D38/1000</f>
        <v/>
      </c>
      <c r="H38" s="15">
        <f>E38/1000</f>
        <v/>
      </c>
      <c r="I38" s="16">
        <f>IFERROR(D38/F38,"")</f>
        <v/>
      </c>
      <c r="J38" s="17" t="inlineStr"/>
    </row>
    <row r="39">
      <c r="A39" s="4" t="inlineStr">
        <is>
          <t>T-04</t>
        </is>
      </c>
      <c r="B39" s="5" t="n">
        <v>107.45</v>
      </c>
      <c r="C39" s="6" t="n">
        <v>5565</v>
      </c>
      <c r="D39" s="7" t="n">
        <v>11069</v>
      </c>
      <c r="E39" s="7" t="n">
        <v>8542</v>
      </c>
      <c r="F39" s="7" t="n">
        <v>7077</v>
      </c>
      <c r="G39" s="8">
        <f>D39/1000</f>
        <v/>
      </c>
      <c r="H39" s="8">
        <f>E39/1000</f>
        <v/>
      </c>
      <c r="I39" s="9">
        <f>IFERROR(D39/F39,"")</f>
        <v/>
      </c>
      <c r="J39" s="10" t="inlineStr"/>
    </row>
    <row r="41">
      <c r="A41" s="18" t="inlineStr">
        <is>
          <t>TOTAL / MÁXIMO</t>
        </is>
      </c>
      <c r="B41" s="19">
        <f>SUM(B5:B39)</f>
        <v/>
      </c>
      <c r="D41" s="20">
        <f>MAX(IFERROR(D5:D39*1,0))</f>
        <v/>
      </c>
      <c r="G41" s="21">
        <f>IFERROR(MAX(G5:G39),"")</f>
        <v/>
      </c>
      <c r="I41" s="22">
        <f>IFERROR(AVERAGE(I5:I39),"")</f>
        <v/>
      </c>
    </row>
    <row r="42">
      <c r="A42" s="23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24" t="inlineStr">
        <is>
          <t>Como estes números foram calculados</t>
        </is>
      </c>
    </row>
    <row r="3" ht="30" customHeight="1">
      <c r="A3" s="25" t="inlineStr">
        <is>
          <t>Origem</t>
        </is>
      </c>
      <c r="B3" s="26" t="inlineStr">
        <is>
          <t>Ponto de sede do projeto do Google Earth (-13.586393, -57.555499).</t>
        </is>
      </c>
    </row>
    <row r="4" ht="30" customHeight="1">
      <c r="A4" s="25" t="inlineStr">
        <is>
          <t>Talhões</t>
        </is>
      </c>
      <c r="B4" s="26" t="inlineStr">
        <is>
          <t>35 polígonos da pasta FAZENDA JAVA.</t>
        </is>
      </c>
    </row>
    <row r="5" ht="30" customHeight="1">
      <c r="A5" s="25" t="inlineStr">
        <is>
          <t>Malha de estradas</t>
        </is>
      </c>
      <c r="B5" s="26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25" t="inlineStr">
        <is>
          <t>Dist. máxima</t>
        </is>
      </c>
      <c r="B6" s="26" t="inlineStr">
        <is>
          <t>Menor caminho pela estrada, da sede até o ponto MAIS EXTREMO do perímetro do talhão. Não corta por dentro da lavoura.</t>
        </is>
      </c>
    </row>
    <row r="7" ht="30" customHeight="1">
      <c r="A7" s="25" t="inlineStr">
        <is>
          <t>Dist. mínima</t>
        </is>
      </c>
      <c r="B7" s="26" t="inlineStr">
        <is>
          <t>Menor caminho pela estrada, da sede até o ponto de acesso mais próximo.</t>
        </is>
      </c>
    </row>
    <row r="8" ht="30" customHeight="1">
      <c r="A8" s="25" t="inlineStr">
        <is>
          <t>Linha reta</t>
        </is>
      </c>
      <c r="B8" s="26" t="inlineStr">
        <is>
          <t>Distância em linha reta da sede até a borda do talhão. Só referência.</t>
        </is>
      </c>
    </row>
    <row r="9" ht="30" customHeight="1">
      <c r="A9" s="25" t="inlineStr">
        <is>
          <t>Fator</t>
        </is>
      </c>
      <c r="B9" s="26" t="inlineStr">
        <is>
          <t>Dist. máxima ÷ linha reta. Fator alto = rota indireta, ou estrada faltando na malha.</t>
        </is>
      </c>
    </row>
    <row r="10" ht="30" customHeight="1">
      <c r="A10" s="25" t="inlineStr">
        <is>
          <t>Coordenadas</t>
        </is>
      </c>
      <c r="B10" s="26" t="inlineStr">
        <is>
          <t>SIRGAS 2000 / UTM 21S (EPSG:31981) para distâncias e áreas.</t>
        </is>
      </c>
    </row>
    <row r="11" ht="30" customHeight="1">
      <c r="A11" s="25" t="inlineStr">
        <is>
          <t>Resolução</t>
        </is>
      </c>
      <c r="B11" s="26" t="inlineStr">
        <is>
          <t>Malha densificada a cada 25 m — é a precisão do 'ponto mais extremo'.</t>
        </is>
      </c>
    </row>
    <row r="12" ht="30" customHeight="1">
      <c r="A12" s="25" t="inlineStr">
        <is>
          <t>Validação</t>
        </is>
      </c>
      <c r="B12" s="26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2026-09-15T15:50:42Z</dcterms:created>
  <dcterms:modified xmlns:dcterms="http://purl.org/dc/terms/" xmlns:xsi="http://www.w3.org/2001/XMLSchema-instance" xsi:type="dcterms:W3CDTF">2026-09-15T15:50:42Z</dcterms:modified>
</cp:coreProperties>
</file>