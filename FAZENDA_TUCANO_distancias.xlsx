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1550036D-F4CC-4D75-890A-FB0532FB7AEA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6" i="1" l="1"/>
  <c r="G76" i="1"/>
</calcChain>
</file>

<file path=xl/sharedStrings.xml><?xml version="1.0" encoding="utf-8"?>
<sst xmlns="http://schemas.openxmlformats.org/spreadsheetml/2006/main" count="105" uniqueCount="105">
  <si>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</si>
  <si>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</si>
  <si>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</si>
  <si>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</si>
  <si>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</si>
  <si>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</si>
  <si>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</si>
  <si>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</si>
  <si>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</si>
  <si>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</si>
  <si>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</si>
  <si>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</si>
  <si>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T-41B</t>
  </si>
  <si>
    <t>T-41A</t>
  </si>
  <si>
    <t>T-40C</t>
  </si>
  <si>
    <t>T-40A</t>
  </si>
  <si>
    <t>T-33A</t>
  </si>
  <si>
    <t>T-33B</t>
  </si>
  <si>
    <t>T-33</t>
  </si>
  <si>
    <t>T-39</t>
  </si>
  <si>
    <t>T-38C</t>
  </si>
  <si>
    <t>T-36B</t>
  </si>
  <si>
    <t>T-36C</t>
  </si>
  <si>
    <t>T-39B</t>
  </si>
  <si>
    <t>T-39C</t>
  </si>
  <si>
    <t>T-40B</t>
  </si>
  <si>
    <t>T-36</t>
  </si>
  <si>
    <t>T-34</t>
  </si>
  <si>
    <t>T-38B</t>
  </si>
  <si>
    <t>T-39D</t>
  </si>
  <si>
    <t>T-38A</t>
  </si>
  <si>
    <t>T-37A</t>
  </si>
  <si>
    <t>T-37B</t>
  </si>
  <si>
    <t>T-39A</t>
  </si>
  <si>
    <t>T-37</t>
  </si>
  <si>
    <t>T-35</t>
  </si>
  <si>
    <t>T-36A</t>
  </si>
  <si>
    <t>T-33C</t>
  </si>
  <si>
    <t>T-33F</t>
  </si>
  <si>
    <t>T-33E</t>
  </si>
  <si>
    <t>T-29A</t>
  </si>
  <si>
    <t>T-29B</t>
  </si>
  <si>
    <t>T-29D</t>
  </si>
  <si>
    <t>T-30C</t>
  </si>
  <si>
    <t>T-30A</t>
  </si>
  <si>
    <t>T-32C</t>
  </si>
  <si>
    <t>T-30D</t>
  </si>
  <si>
    <t>T-32B</t>
  </si>
  <si>
    <t>T-27C</t>
  </si>
  <si>
    <t>T-26B</t>
  </si>
  <si>
    <t>T-26A</t>
  </si>
  <si>
    <t>T-30B</t>
  </si>
  <si>
    <t>T-27D</t>
  </si>
  <si>
    <t>T-33D</t>
  </si>
  <si>
    <t>T-32</t>
  </si>
  <si>
    <t>T-32A</t>
  </si>
  <si>
    <t>T-29C</t>
  </si>
  <si>
    <t>T-27A</t>
  </si>
  <si>
    <t>T-26C</t>
  </si>
  <si>
    <t>T-27B</t>
  </si>
  <si>
    <t>T-06C</t>
  </si>
  <si>
    <t>T-17</t>
  </si>
  <si>
    <t>T-05D</t>
  </si>
  <si>
    <t>T-05C</t>
  </si>
  <si>
    <t>T-CON</t>
  </si>
  <si>
    <t>T-05B</t>
  </si>
  <si>
    <t>T-21</t>
  </si>
  <si>
    <t>T-22</t>
  </si>
  <si>
    <t>T-02</t>
  </si>
  <si>
    <t>T-07B</t>
  </si>
  <si>
    <t>T-03</t>
  </si>
  <si>
    <t>T-05A</t>
  </si>
  <si>
    <t>T-06B</t>
  </si>
  <si>
    <t>T-04</t>
  </si>
  <si>
    <t>T-06A</t>
  </si>
  <si>
    <t>T-16</t>
  </si>
  <si>
    <t>T-07</t>
  </si>
  <si>
    <t>T-09</t>
  </si>
  <si>
    <t>T-08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</si>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</sst>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38.03</v>
      </c>
      <c r="C5" s="6">
        <v>2973</v>
      </c>
      <c r="D5" s="7">
        <v>32882</v>
      </c>
      <c r="E5" s="7">
        <v>27982</v>
      </c>
      <c r="F5" s="7">
        <v>12971</v>
      </c>
      <c r="G5" s="8">
        <f t="shared" ref="G5:G36" si="0">D5/1000</f>
        <v>32.881999999999998</v>
      </c>
      <c r="H5" s="8">
        <f t="shared" ref="H5:H36" si="1">E5/1000</f>
        <v>27.981999999999999</v>
      </c>
      <c r="I5" s="9">
        <f t="shared" ref="I5:I36" si="2">IFERROR(D5/F5,"")</f>
        <v>2.5350397039549764</v>
      </c>
      <c r="J5" s="10"/>
    </row>
    <row r="6" spans="1:10" x14ac:dyDescent="0.3">
      <c r="A6" s="11" t="s">
        <v>13</v>
      </c>
      <c r="B6" s="12">
        <v>150.53</v>
      </c>
      <c r="C6" s="13">
        <v>4897</v>
      </c>
      <c r="D6" s="14">
        <v>32336</v>
      </c>
      <c r="E6" s="14">
        <v>27839</v>
      </c>
      <c r="F6" s="14">
        <v>12769</v>
      </c>
      <c r="G6" s="15">
        <f t="shared" si="0"/>
        <v>32.335999999999999</v>
      </c>
      <c r="H6" s="15">
        <f t="shared" si="1"/>
        <v>27.838999999999999</v>
      </c>
      <c r="I6" s="16">
        <f t="shared" si="2"/>
        <v>2.5323831153575065</v>
      </c>
      <c r="J6" s="17"/>
    </row>
    <row r="7" spans="1:10" x14ac:dyDescent="0.3">
      <c r="A7" s="4" t="s">
        <v>14</v>
      </c>
      <c r="B7" s="5">
        <v>39.65</v>
      </c>
      <c r="C7" s="6">
        <v>2528</v>
      </c>
      <c r="D7" s="7">
        <v>30679</v>
      </c>
      <c r="E7" s="7">
        <v>28951</v>
      </c>
      <c r="F7" s="7">
        <v>13714</v>
      </c>
      <c r="G7" s="8">
        <f t="shared" si="0"/>
        <v>30.678999999999998</v>
      </c>
      <c r="H7" s="8">
        <f t="shared" si="1"/>
        <v>28.951000000000001</v>
      </c>
      <c r="I7" s="9">
        <f t="shared" si="2"/>
        <v>2.237057022021292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30391</v>
      </c>
      <c r="E8" s="14">
        <v>28133</v>
      </c>
      <c r="F8" s="14">
        <v>13732</v>
      </c>
      <c r="G8" s="15">
        <f t="shared" si="0"/>
        <v>30.390999999999998</v>
      </c>
      <c r="H8" s="15">
        <f t="shared" si="1"/>
        <v>28.132999999999999</v>
      </c>
      <c r="I8" s="16">
        <f t="shared" si="2"/>
        <v>2.21315176230702</v>
      </c>
      <c r="J8" s="17"/>
    </row>
    <row r="9" spans="1:10" x14ac:dyDescent="0.3">
      <c r="A9" s="4" t="s">
        <v>16</v>
      </c>
      <c r="B9" s="5">
        <v>28.72</v>
      </c>
      <c r="C9" s="6">
        <v>2599</v>
      </c>
      <c r="D9" s="7">
        <v>30093</v>
      </c>
      <c r="E9" s="7">
        <v>24978</v>
      </c>
      <c r="F9" s="7">
        <v>14141</v>
      </c>
      <c r="G9" s="8">
        <f t="shared" si="0"/>
        <v>30.093</v>
      </c>
      <c r="H9" s="8">
        <f t="shared" si="1"/>
        <v>24.978000000000002</v>
      </c>
      <c r="I9" s="9">
        <f t="shared" si="2"/>
        <v>2.1280673219715722</v>
      </c>
      <c r="J9" s="10"/>
    </row>
    <row r="10" spans="1:10" x14ac:dyDescent="0.3">
      <c r="A10" s="11" t="s">
        <v>17</v>
      </c>
      <c r="B10" s="12">
        <v>28.89</v>
      </c>
      <c r="C10" s="13">
        <v>2630</v>
      </c>
      <c r="D10" s="14">
        <v>30092</v>
      </c>
      <c r="E10" s="14">
        <v>20166</v>
      </c>
      <c r="F10" s="14">
        <v>13724</v>
      </c>
      <c r="G10" s="15">
        <f t="shared" si="0"/>
        <v>30.091999999999999</v>
      </c>
      <c r="H10" s="15">
        <f t="shared" si="1"/>
        <v>20.166</v>
      </c>
      <c r="I10" s="16">
        <f t="shared" si="2"/>
        <v>2.19265520256485</v>
      </c>
      <c r="J10" s="17"/>
    </row>
    <row r="11" spans="1:10" x14ac:dyDescent="0.3">
      <c r="A11" s="4" t="s">
        <v>18</v>
      </c>
      <c r="B11" s="5">
        <v>187.06</v>
      </c>
      <c r="C11" s="6">
        <v>5526</v>
      </c>
      <c r="D11" s="7">
        <v>30008</v>
      </c>
      <c r="E11" s="7">
        <v>18746</v>
      </c>
      <c r="F11" s="7">
        <v>13729</v>
      </c>
      <c r="G11" s="8">
        <f t="shared" si="0"/>
        <v>30.007999999999999</v>
      </c>
      <c r="H11" s="8">
        <f t="shared" si="1"/>
        <v>18.745999999999999</v>
      </c>
      <c r="I11" s="9">
        <f t="shared" si="2"/>
        <v>2.1857382183698739</v>
      </c>
      <c r="J11" s="10"/>
    </row>
    <row r="12" spans="1:10" x14ac:dyDescent="0.3">
      <c r="A12" s="11" t="s">
        <v>19</v>
      </c>
      <c r="B12" s="12">
        <v>96.66</v>
      </c>
      <c r="C12" s="13">
        <v>4267</v>
      </c>
      <c r="D12" s="14">
        <v>29879</v>
      </c>
      <c r="E12" s="14">
        <v>27380</v>
      </c>
      <c r="F12" s="14">
        <v>14390</v>
      </c>
      <c r="G12" s="15">
        <f t="shared" si="0"/>
        <v>29.879000000000001</v>
      </c>
      <c r="H12" s="15">
        <f t="shared" si="1"/>
        <v>27.38</v>
      </c>
      <c r="I12" s="16">
        <f t="shared" si="2"/>
        <v>2.0763724808895065</v>
      </c>
      <c r="J12" s="17"/>
    </row>
    <row r="13" spans="1:10" x14ac:dyDescent="0.3">
      <c r="A13" s="4" t="s">
        <v>20</v>
      </c>
      <c r="B13" s="5">
        <v>27.75</v>
      </c>
      <c r="C13" s="6">
        <v>2368</v>
      </c>
      <c r="D13" s="7">
        <v>29667</v>
      </c>
      <c r="E13" s="7">
        <v>25730</v>
      </c>
      <c r="F13" s="7">
        <v>14263</v>
      </c>
      <c r="G13" s="8">
        <f t="shared" si="0"/>
        <v>29.667000000000002</v>
      </c>
      <c r="H13" s="8">
        <f t="shared" si="1"/>
        <v>25.73</v>
      </c>
      <c r="I13" s="9">
        <f t="shared" si="2"/>
        <v>2.0799971955409102</v>
      </c>
      <c r="J13" s="10"/>
    </row>
    <row r="14" spans="1:10" x14ac:dyDescent="0.3">
      <c r="A14" s="11" t="s">
        <v>21</v>
      </c>
      <c r="B14" s="12">
        <v>39.71</v>
      </c>
      <c r="C14" s="13">
        <v>2648</v>
      </c>
      <c r="D14" s="14">
        <v>29611</v>
      </c>
      <c r="E14" s="14">
        <v>24960</v>
      </c>
      <c r="F14" s="14">
        <v>14442</v>
      </c>
      <c r="G14" s="15">
        <f t="shared" si="0"/>
        <v>29.611000000000001</v>
      </c>
      <c r="H14" s="15">
        <f t="shared" si="1"/>
        <v>24.96</v>
      </c>
      <c r="I14" s="16">
        <f t="shared" si="2"/>
        <v>2.0503392881872315</v>
      </c>
      <c r="J14" s="17"/>
    </row>
    <row r="15" spans="1:10" x14ac:dyDescent="0.3">
      <c r="A15" s="4" t="s">
        <v>22</v>
      </c>
      <c r="B15" s="5">
        <v>42.33</v>
      </c>
      <c r="C15" s="6">
        <v>3171</v>
      </c>
      <c r="D15" s="7">
        <v>29609</v>
      </c>
      <c r="E15" s="7">
        <v>25397</v>
      </c>
      <c r="F15" s="7">
        <v>14233</v>
      </c>
      <c r="G15" s="8">
        <f t="shared" si="0"/>
        <v>29.609000000000002</v>
      </c>
      <c r="H15" s="8">
        <f t="shared" si="1"/>
        <v>25.396999999999998</v>
      </c>
      <c r="I15" s="9">
        <f t="shared" si="2"/>
        <v>2.0803063303590248</v>
      </c>
      <c r="J15" s="10"/>
    </row>
    <row r="16" spans="1:10" x14ac:dyDescent="0.3">
      <c r="A16" s="11" t="s">
        <v>23</v>
      </c>
      <c r="B16" s="12">
        <v>27.21</v>
      </c>
      <c r="C16" s="13">
        <v>2143</v>
      </c>
      <c r="D16" s="14">
        <v>29573</v>
      </c>
      <c r="E16" s="14">
        <v>25688</v>
      </c>
      <c r="F16" s="14">
        <v>14837</v>
      </c>
      <c r="G16" s="15">
        <f t="shared" si="0"/>
        <v>29.573</v>
      </c>
      <c r="H16" s="15">
        <f t="shared" si="1"/>
        <v>25.687999999999999</v>
      </c>
      <c r="I16" s="16">
        <f t="shared" si="2"/>
        <v>1.9931926939408235</v>
      </c>
      <c r="J16" s="17"/>
    </row>
    <row r="17" spans="1:10" x14ac:dyDescent="0.3">
      <c r="A17" s="4" t="s">
        <v>24</v>
      </c>
      <c r="B17" s="5">
        <v>20.03</v>
      </c>
      <c r="C17" s="6">
        <v>1858</v>
      </c>
      <c r="D17" s="7">
        <v>29572</v>
      </c>
      <c r="E17" s="7">
        <v>27963</v>
      </c>
      <c r="F17" s="7">
        <v>14553</v>
      </c>
      <c r="G17" s="8">
        <f t="shared" si="0"/>
        <v>29.571999999999999</v>
      </c>
      <c r="H17" s="8">
        <f t="shared" si="1"/>
        <v>27.963000000000001</v>
      </c>
      <c r="I17" s="9">
        <f t="shared" si="2"/>
        <v>2.0320208891637463</v>
      </c>
      <c r="J17" s="10"/>
    </row>
    <row r="18" spans="1:10" x14ac:dyDescent="0.3">
      <c r="A18" s="11" t="s">
        <v>25</v>
      </c>
      <c r="B18" s="12">
        <v>31</v>
      </c>
      <c r="C18" s="13">
        <v>2363</v>
      </c>
      <c r="D18" s="14">
        <v>29572</v>
      </c>
      <c r="E18" s="14">
        <v>28321</v>
      </c>
      <c r="F18" s="14">
        <v>14034</v>
      </c>
      <c r="G18" s="15">
        <f t="shared" si="0"/>
        <v>29.571999999999999</v>
      </c>
      <c r="H18" s="15">
        <f t="shared" si="1"/>
        <v>28.321000000000002</v>
      </c>
      <c r="I18" s="16">
        <f t="shared" si="2"/>
        <v>2.1071683055436798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29570</v>
      </c>
      <c r="E19" s="7">
        <v>23553</v>
      </c>
      <c r="F19" s="7">
        <v>14968</v>
      </c>
      <c r="G19" s="8">
        <f t="shared" si="0"/>
        <v>29.57</v>
      </c>
      <c r="H19" s="8">
        <f t="shared" si="1"/>
        <v>23.553000000000001</v>
      </c>
      <c r="I19" s="9">
        <f t="shared" si="2"/>
        <v>1.9755478353821485</v>
      </c>
      <c r="J19" s="10"/>
    </row>
    <row r="20" spans="1:10" x14ac:dyDescent="0.3">
      <c r="A20" s="11" t="s">
        <v>27</v>
      </c>
      <c r="B20" s="12">
        <v>228.96</v>
      </c>
      <c r="C20" s="13">
        <v>6152</v>
      </c>
      <c r="D20" s="14">
        <v>29176</v>
      </c>
      <c r="E20" s="14">
        <v>20246</v>
      </c>
      <c r="F20" s="14">
        <v>15117</v>
      </c>
      <c r="G20" s="15">
        <f t="shared" si="0"/>
        <v>29.175999999999998</v>
      </c>
      <c r="H20" s="15">
        <f t="shared" si="1"/>
        <v>20.245999999999999</v>
      </c>
      <c r="I20" s="16">
        <f t="shared" si="2"/>
        <v>1.9300125686313423</v>
      </c>
      <c r="J20" s="17"/>
    </row>
    <row r="21" spans="1:10" x14ac:dyDescent="0.3">
      <c r="A21" s="4" t="s">
        <v>28</v>
      </c>
      <c r="B21" s="5">
        <v>25.33</v>
      </c>
      <c r="C21" s="6">
        <v>2313</v>
      </c>
      <c r="D21" s="7">
        <v>29028</v>
      </c>
      <c r="E21" s="7">
        <v>25431</v>
      </c>
      <c r="F21" s="7">
        <v>14244</v>
      </c>
      <c r="G21" s="8">
        <f t="shared" si="0"/>
        <v>29.027999999999999</v>
      </c>
      <c r="H21" s="8">
        <f t="shared" si="1"/>
        <v>25.431000000000001</v>
      </c>
      <c r="I21" s="9">
        <f t="shared" si="2"/>
        <v>2.0379106992417859</v>
      </c>
      <c r="J21" s="10"/>
    </row>
    <row r="22" spans="1:10" x14ac:dyDescent="0.3">
      <c r="A22" s="11" t="s">
        <v>29</v>
      </c>
      <c r="B22" s="12">
        <v>23.73</v>
      </c>
      <c r="C22" s="13">
        <v>2148</v>
      </c>
      <c r="D22" s="14">
        <v>28967</v>
      </c>
      <c r="E22" s="14">
        <v>27505</v>
      </c>
      <c r="F22" s="14">
        <v>14710</v>
      </c>
      <c r="G22" s="15">
        <f t="shared" si="0"/>
        <v>28.966999999999999</v>
      </c>
      <c r="H22" s="15">
        <f t="shared" si="1"/>
        <v>27.504999999999999</v>
      </c>
      <c r="I22" s="16">
        <f t="shared" si="2"/>
        <v>1.9692046227056423</v>
      </c>
      <c r="J22" s="17"/>
    </row>
    <row r="23" spans="1:10" x14ac:dyDescent="0.3">
      <c r="A23" s="4" t="s">
        <v>30</v>
      </c>
      <c r="B23" s="5">
        <v>52.93</v>
      </c>
      <c r="C23" s="6">
        <v>3201</v>
      </c>
      <c r="D23" s="7">
        <v>28945</v>
      </c>
      <c r="E23" s="7">
        <v>26110</v>
      </c>
      <c r="F23" s="7">
        <v>13857</v>
      </c>
      <c r="G23" s="8">
        <f t="shared" si="0"/>
        <v>28.945</v>
      </c>
      <c r="H23" s="8">
        <f t="shared" si="1"/>
        <v>26.11</v>
      </c>
      <c r="I23" s="9">
        <f t="shared" si="2"/>
        <v>2.0888359673811072</v>
      </c>
      <c r="J23" s="10"/>
    </row>
    <row r="24" spans="1:10" x14ac:dyDescent="0.3">
      <c r="A24" s="11" t="s">
        <v>31</v>
      </c>
      <c r="B24" s="12">
        <v>85.99</v>
      </c>
      <c r="C24" s="13">
        <v>4182</v>
      </c>
      <c r="D24" s="14">
        <v>28488</v>
      </c>
      <c r="E24" s="14">
        <v>26594</v>
      </c>
      <c r="F24" s="14">
        <v>15781</v>
      </c>
      <c r="G24" s="15">
        <f t="shared" si="0"/>
        <v>28.488</v>
      </c>
      <c r="H24" s="15">
        <f t="shared" si="1"/>
        <v>26.594000000000001</v>
      </c>
      <c r="I24" s="16">
        <f t="shared" si="2"/>
        <v>1.8052087953868576</v>
      </c>
      <c r="J24" s="17"/>
    </row>
    <row r="25" spans="1:10" x14ac:dyDescent="0.3">
      <c r="A25" s="4" t="s">
        <v>32</v>
      </c>
      <c r="B25" s="5">
        <v>108.01</v>
      </c>
      <c r="C25" s="6">
        <v>4183</v>
      </c>
      <c r="D25" s="7">
        <v>28187</v>
      </c>
      <c r="E25" s="7">
        <v>24554</v>
      </c>
      <c r="F25" s="7">
        <v>15031</v>
      </c>
      <c r="G25" s="8">
        <f t="shared" si="0"/>
        <v>28.187000000000001</v>
      </c>
      <c r="H25" s="8">
        <f t="shared" si="1"/>
        <v>24.553999999999998</v>
      </c>
      <c r="I25" s="9">
        <f t="shared" si="2"/>
        <v>1.8752578005455391</v>
      </c>
      <c r="J25" s="10"/>
    </row>
    <row r="26" spans="1:10" x14ac:dyDescent="0.3">
      <c r="A26" s="11" t="s">
        <v>33</v>
      </c>
      <c r="B26" s="12">
        <v>34.07</v>
      </c>
      <c r="C26" s="13">
        <v>2376</v>
      </c>
      <c r="D26" s="14">
        <v>28187</v>
      </c>
      <c r="E26" s="14">
        <v>26172</v>
      </c>
      <c r="F26" s="14">
        <v>15101</v>
      </c>
      <c r="G26" s="15">
        <f t="shared" si="0"/>
        <v>28.187000000000001</v>
      </c>
      <c r="H26" s="15">
        <f t="shared" si="1"/>
        <v>26.172000000000001</v>
      </c>
      <c r="I26" s="16">
        <f t="shared" si="2"/>
        <v>1.8665651281372095</v>
      </c>
      <c r="J26" s="17"/>
    </row>
    <row r="27" spans="1:10" x14ac:dyDescent="0.3">
      <c r="A27" s="4" t="s">
        <v>34</v>
      </c>
      <c r="B27" s="5">
        <v>182.45</v>
      </c>
      <c r="C27" s="6">
        <v>5565</v>
      </c>
      <c r="D27" s="7">
        <v>28102</v>
      </c>
      <c r="E27" s="7">
        <v>23563</v>
      </c>
      <c r="F27" s="7">
        <v>15705</v>
      </c>
      <c r="G27" s="8">
        <f t="shared" si="0"/>
        <v>28.102</v>
      </c>
      <c r="H27" s="8">
        <f t="shared" si="1"/>
        <v>23.562999999999999</v>
      </c>
      <c r="I27" s="9">
        <f t="shared" si="2"/>
        <v>1.7893664438077046</v>
      </c>
      <c r="J27" s="10"/>
    </row>
    <row r="28" spans="1:10" x14ac:dyDescent="0.3">
      <c r="A28" s="11" t="s">
        <v>35</v>
      </c>
      <c r="B28" s="12">
        <v>240.66</v>
      </c>
      <c r="C28" s="13">
        <v>6211</v>
      </c>
      <c r="D28" s="14">
        <v>27518</v>
      </c>
      <c r="E28" s="14">
        <v>22104</v>
      </c>
      <c r="F28" s="14">
        <v>16499</v>
      </c>
      <c r="G28" s="15">
        <f t="shared" si="0"/>
        <v>27.518000000000001</v>
      </c>
      <c r="H28" s="15">
        <f t="shared" si="1"/>
        <v>22.103999999999999</v>
      </c>
      <c r="I28" s="16">
        <f t="shared" si="2"/>
        <v>1.6678586581004908</v>
      </c>
      <c r="J28" s="17"/>
    </row>
    <row r="29" spans="1:10" x14ac:dyDescent="0.3">
      <c r="A29" s="4" t="s">
        <v>36</v>
      </c>
      <c r="B29" s="5">
        <v>36.89</v>
      </c>
      <c r="C29" s="6">
        <v>2563</v>
      </c>
      <c r="D29" s="7">
        <v>26535</v>
      </c>
      <c r="E29" s="7">
        <v>24580</v>
      </c>
      <c r="F29" s="7">
        <v>14740</v>
      </c>
      <c r="G29" s="8">
        <f t="shared" si="0"/>
        <v>26.535</v>
      </c>
      <c r="H29" s="8">
        <f t="shared" si="1"/>
        <v>24.58</v>
      </c>
      <c r="I29" s="9">
        <f t="shared" si="2"/>
        <v>1.8002035278154682</v>
      </c>
      <c r="J29" s="10"/>
    </row>
    <row r="30" spans="1:10" x14ac:dyDescent="0.3">
      <c r="A30" s="11" t="s">
        <v>37</v>
      </c>
      <c r="B30" s="12">
        <v>17.32</v>
      </c>
      <c r="C30" s="13">
        <v>1739</v>
      </c>
      <c r="D30" s="14">
        <v>25342</v>
      </c>
      <c r="E30" s="14">
        <v>24343</v>
      </c>
      <c r="F30" s="14">
        <v>13605</v>
      </c>
      <c r="G30" s="15">
        <f t="shared" si="0"/>
        <v>25.341999999999999</v>
      </c>
      <c r="H30" s="15">
        <f t="shared" si="1"/>
        <v>24.343</v>
      </c>
      <c r="I30" s="16">
        <f t="shared" si="2"/>
        <v>1.8626975376699744</v>
      </c>
      <c r="J30" s="17"/>
    </row>
    <row r="31" spans="1:10" x14ac:dyDescent="0.3">
      <c r="A31" s="4" t="s">
        <v>38</v>
      </c>
      <c r="B31" s="5">
        <v>83.54</v>
      </c>
      <c r="C31" s="6">
        <v>3934</v>
      </c>
      <c r="D31" s="7">
        <v>25160</v>
      </c>
      <c r="E31" s="7">
        <v>20006</v>
      </c>
      <c r="F31" s="7">
        <v>12932</v>
      </c>
      <c r="G31" s="8">
        <f t="shared" si="0"/>
        <v>25.16</v>
      </c>
      <c r="H31" s="8">
        <f t="shared" si="1"/>
        <v>20.006</v>
      </c>
      <c r="I31" s="9">
        <f t="shared" si="2"/>
        <v>1.9455613980822766</v>
      </c>
      <c r="J31" s="10"/>
    </row>
    <row r="32" spans="1:10" x14ac:dyDescent="0.3">
      <c r="A32" s="11" t="s">
        <v>39</v>
      </c>
      <c r="B32" s="12">
        <v>25.66</v>
      </c>
      <c r="C32" s="13">
        <v>2270</v>
      </c>
      <c r="D32" s="14">
        <v>25048</v>
      </c>
      <c r="E32" s="14">
        <v>23468</v>
      </c>
      <c r="F32" s="14">
        <v>13030</v>
      </c>
      <c r="G32" s="15">
        <f t="shared" si="0"/>
        <v>25.047999999999998</v>
      </c>
      <c r="H32" s="15">
        <f t="shared" si="1"/>
        <v>23.468</v>
      </c>
      <c r="I32" s="16">
        <f t="shared" si="2"/>
        <v>1.9223330775134306</v>
      </c>
      <c r="J32" s="17"/>
    </row>
    <row r="33" spans="1:10" x14ac:dyDescent="0.3">
      <c r="A33" s="4" t="s">
        <v>40</v>
      </c>
      <c r="B33" s="5">
        <v>55.07</v>
      </c>
      <c r="C33" s="6">
        <v>3294</v>
      </c>
      <c r="D33" s="7">
        <v>24700</v>
      </c>
      <c r="E33" s="7">
        <v>20755</v>
      </c>
      <c r="F33" s="7">
        <v>10324</v>
      </c>
      <c r="G33" s="8">
        <f t="shared" si="0"/>
        <v>24.7</v>
      </c>
      <c r="H33" s="8">
        <f t="shared" si="1"/>
        <v>20.754999999999999</v>
      </c>
      <c r="I33" s="9">
        <f t="shared" si="2"/>
        <v>2.3924835335141417</v>
      </c>
      <c r="J33" s="10"/>
    </row>
    <row r="34" spans="1:10" x14ac:dyDescent="0.3">
      <c r="A34" s="11" t="s">
        <v>41</v>
      </c>
      <c r="B34" s="12">
        <v>51.46</v>
      </c>
      <c r="C34" s="13">
        <v>3211</v>
      </c>
      <c r="D34" s="14">
        <v>24671</v>
      </c>
      <c r="E34" s="14">
        <v>20063</v>
      </c>
      <c r="F34" s="14">
        <v>10413</v>
      </c>
      <c r="G34" s="15">
        <f t="shared" si="0"/>
        <v>24.670999999999999</v>
      </c>
      <c r="H34" s="15">
        <f t="shared" si="1"/>
        <v>20.062999999999999</v>
      </c>
      <c r="I34" s="16">
        <f t="shared" si="2"/>
        <v>2.3692499759915489</v>
      </c>
      <c r="J34" s="17"/>
    </row>
    <row r="35" spans="1:10" x14ac:dyDescent="0.3">
      <c r="A35" s="4" t="s">
        <v>42</v>
      </c>
      <c r="B35" s="5">
        <v>204.97</v>
      </c>
      <c r="C35" s="6">
        <v>6009</v>
      </c>
      <c r="D35" s="7">
        <v>24566</v>
      </c>
      <c r="E35" s="7">
        <v>18872</v>
      </c>
      <c r="F35" s="7">
        <v>9361</v>
      </c>
      <c r="G35" s="8">
        <f t="shared" si="0"/>
        <v>24.565999999999999</v>
      </c>
      <c r="H35" s="8">
        <f t="shared" si="1"/>
        <v>18.872</v>
      </c>
      <c r="I35" s="9">
        <f t="shared" si="2"/>
        <v>2.6242922764661896</v>
      </c>
      <c r="J35" s="10"/>
    </row>
    <row r="36" spans="1:10" x14ac:dyDescent="0.3">
      <c r="A36" s="11" t="s">
        <v>43</v>
      </c>
      <c r="B36" s="12">
        <v>135.69999999999999</v>
      </c>
      <c r="C36" s="13">
        <v>5466</v>
      </c>
      <c r="D36" s="14">
        <v>23415</v>
      </c>
      <c r="E36" s="14">
        <v>19769</v>
      </c>
      <c r="F36" s="14">
        <v>9364</v>
      </c>
      <c r="G36" s="15">
        <f t="shared" si="0"/>
        <v>23.414999999999999</v>
      </c>
      <c r="H36" s="15">
        <f t="shared" si="1"/>
        <v>19.768999999999998</v>
      </c>
      <c r="I36" s="16">
        <f t="shared" si="2"/>
        <v>2.5005339598462197</v>
      </c>
      <c r="J36" s="17"/>
    </row>
    <row r="37" spans="1:10" x14ac:dyDescent="0.3">
      <c r="A37" s="4" t="s">
        <v>44</v>
      </c>
      <c r="B37" s="5">
        <v>36.369999999999997</v>
      </c>
      <c r="C37" s="6">
        <v>3031</v>
      </c>
      <c r="D37" s="7">
        <v>23413</v>
      </c>
      <c r="E37" s="7">
        <v>20695</v>
      </c>
      <c r="F37" s="7">
        <v>10293</v>
      </c>
      <c r="G37" s="8">
        <f t="shared" ref="G37:G68" si="3">D37/1000</f>
        <v>23.413</v>
      </c>
      <c r="H37" s="8">
        <f t="shared" ref="H37:H68" si="4">E37/1000</f>
        <v>20.695</v>
      </c>
      <c r="I37" s="9">
        <f t="shared" ref="I37:I68" si="5">IFERROR(D37/F37,"")</f>
        <v>2.2746526765763142</v>
      </c>
      <c r="J37" s="10"/>
    </row>
    <row r="38" spans="1:10" x14ac:dyDescent="0.3">
      <c r="A38" s="11" t="s">
        <v>45</v>
      </c>
      <c r="B38" s="12">
        <v>73.53</v>
      </c>
      <c r="C38" s="13">
        <v>3551</v>
      </c>
      <c r="D38" s="14">
        <v>23341</v>
      </c>
      <c r="E38" s="14">
        <v>20000</v>
      </c>
      <c r="F38" s="14">
        <v>12059</v>
      </c>
      <c r="G38" s="15">
        <f t="shared" si="3"/>
        <v>23.341000000000001</v>
      </c>
      <c r="H38" s="15">
        <f t="shared" si="4"/>
        <v>20</v>
      </c>
      <c r="I38" s="16">
        <f t="shared" si="5"/>
        <v>1.9355667965834646</v>
      </c>
      <c r="J38" s="17"/>
    </row>
    <row r="39" spans="1:10" x14ac:dyDescent="0.3">
      <c r="A39" s="4" t="s">
        <v>46</v>
      </c>
      <c r="B39" s="5">
        <v>27.34</v>
      </c>
      <c r="C39" s="6">
        <v>2417</v>
      </c>
      <c r="D39" s="7">
        <v>23005</v>
      </c>
      <c r="E39" s="7">
        <v>21148</v>
      </c>
      <c r="F39" s="7">
        <v>10355</v>
      </c>
      <c r="G39" s="8">
        <f t="shared" si="3"/>
        <v>23.004999999999999</v>
      </c>
      <c r="H39" s="8">
        <f t="shared" si="4"/>
        <v>21.148</v>
      </c>
      <c r="I39" s="9">
        <f t="shared" si="5"/>
        <v>2.2216320618058907</v>
      </c>
      <c r="J39" s="10"/>
    </row>
    <row r="40" spans="1:10" x14ac:dyDescent="0.3">
      <c r="A40" s="11" t="s">
        <v>47</v>
      </c>
      <c r="B40" s="12">
        <v>56.22</v>
      </c>
      <c r="C40" s="13">
        <v>3219</v>
      </c>
      <c r="D40" s="14">
        <v>22962</v>
      </c>
      <c r="E40" s="14">
        <v>18956</v>
      </c>
      <c r="F40" s="14">
        <v>12386</v>
      </c>
      <c r="G40" s="15">
        <f t="shared" si="3"/>
        <v>22.962</v>
      </c>
      <c r="H40" s="15">
        <f t="shared" si="4"/>
        <v>18.956</v>
      </c>
      <c r="I40" s="16">
        <f t="shared" si="5"/>
        <v>1.8538672694978202</v>
      </c>
      <c r="J40" s="17"/>
    </row>
    <row r="41" spans="1:10" x14ac:dyDescent="0.3">
      <c r="A41" s="18" t="s">
        <v>48</v>
      </c>
      <c r="B41" s="19">
        <v>160.22</v>
      </c>
      <c r="C41" s="20">
        <v>5695</v>
      </c>
      <c r="D41" s="21">
        <v>22099</v>
      </c>
      <c r="E41" s="21">
        <v>14636</v>
      </c>
      <c r="F41" s="21">
        <v>7303</v>
      </c>
      <c r="G41" s="22">
        <f t="shared" si="3"/>
        <v>22.099</v>
      </c>
      <c r="H41" s="22">
        <f t="shared" si="4"/>
        <v>14.635999999999999</v>
      </c>
      <c r="I41" s="23">
        <f t="shared" si="5"/>
        <v>3.0260167054635083</v>
      </c>
      <c r="J41" s="24"/>
    </row>
    <row r="42" spans="1:10" x14ac:dyDescent="0.3">
      <c r="A42" s="11" t="s">
        <v>49</v>
      </c>
      <c r="B42" s="12">
        <v>24.59</v>
      </c>
      <c r="C42" s="13">
        <v>3289</v>
      </c>
      <c r="D42" s="14">
        <v>21676</v>
      </c>
      <c r="E42" s="14">
        <v>16887</v>
      </c>
      <c r="F42" s="14">
        <v>8560</v>
      </c>
      <c r="G42" s="15">
        <f t="shared" si="3"/>
        <v>21.675999999999998</v>
      </c>
      <c r="H42" s="15">
        <f t="shared" si="4"/>
        <v>16.887</v>
      </c>
      <c r="I42" s="16">
        <f t="shared" si="5"/>
        <v>2.5322429906542054</v>
      </c>
      <c r="J42" s="17"/>
    </row>
    <row r="43" spans="1:10" x14ac:dyDescent="0.3">
      <c r="A43" s="4" t="s">
        <v>50</v>
      </c>
      <c r="B43" s="5">
        <v>161.05000000000001</v>
      </c>
      <c r="C43" s="6">
        <v>6277</v>
      </c>
      <c r="D43" s="7">
        <v>21505</v>
      </c>
      <c r="E43" s="7">
        <v>14627</v>
      </c>
      <c r="F43" s="7">
        <v>7560</v>
      </c>
      <c r="G43" s="8">
        <f t="shared" si="3"/>
        <v>21.504999999999999</v>
      </c>
      <c r="H43" s="8">
        <f t="shared" si="4"/>
        <v>14.627000000000001</v>
      </c>
      <c r="I43" s="9">
        <f t="shared" si="5"/>
        <v>2.8445767195767195</v>
      </c>
      <c r="J43" s="10"/>
    </row>
    <row r="44" spans="1:10" x14ac:dyDescent="0.3">
      <c r="A44" s="11" t="s">
        <v>51</v>
      </c>
      <c r="B44" s="12">
        <v>40.19</v>
      </c>
      <c r="C44" s="13">
        <v>2657</v>
      </c>
      <c r="D44" s="14">
        <v>21328</v>
      </c>
      <c r="E44" s="14">
        <v>19769</v>
      </c>
      <c r="F44" s="14">
        <v>9367</v>
      </c>
      <c r="G44" s="15">
        <f t="shared" si="3"/>
        <v>21.327999999999999</v>
      </c>
      <c r="H44" s="15">
        <f t="shared" si="4"/>
        <v>19.768999999999998</v>
      </c>
      <c r="I44" s="16">
        <f t="shared" si="5"/>
        <v>2.2769296466317925</v>
      </c>
      <c r="J44" s="17"/>
    </row>
    <row r="45" spans="1:10" x14ac:dyDescent="0.3">
      <c r="A45" s="4" t="s">
        <v>52</v>
      </c>
      <c r="B45" s="5">
        <v>33.869999999999997</v>
      </c>
      <c r="C45" s="6">
        <v>2414</v>
      </c>
      <c r="D45" s="7">
        <v>21104</v>
      </c>
      <c r="E45" s="7">
        <v>15393</v>
      </c>
      <c r="F45" s="7">
        <v>8238</v>
      </c>
      <c r="G45" s="8">
        <f t="shared" si="3"/>
        <v>21.103999999999999</v>
      </c>
      <c r="H45" s="8">
        <f t="shared" si="4"/>
        <v>15.393000000000001</v>
      </c>
      <c r="I45" s="9">
        <f t="shared" si="5"/>
        <v>2.5617868414663754</v>
      </c>
      <c r="J45" s="10"/>
    </row>
    <row r="46" spans="1:10" x14ac:dyDescent="0.3">
      <c r="A46" s="11" t="s">
        <v>53</v>
      </c>
      <c r="B46" s="12">
        <v>20.329999999999998</v>
      </c>
      <c r="C46" s="13">
        <v>1825</v>
      </c>
      <c r="D46" s="14">
        <v>20990</v>
      </c>
      <c r="E46" s="14">
        <v>20016</v>
      </c>
      <c r="F46" s="14">
        <v>13381</v>
      </c>
      <c r="G46" s="15">
        <f t="shared" si="3"/>
        <v>20.99</v>
      </c>
      <c r="H46" s="15">
        <f t="shared" si="4"/>
        <v>20.015999999999998</v>
      </c>
      <c r="I46" s="16">
        <f t="shared" si="5"/>
        <v>1.5686421044764964</v>
      </c>
      <c r="J46" s="17"/>
    </row>
    <row r="47" spans="1:10" x14ac:dyDescent="0.3">
      <c r="A47" s="4" t="s">
        <v>54</v>
      </c>
      <c r="B47" s="5">
        <v>82.03</v>
      </c>
      <c r="C47" s="6">
        <v>3674</v>
      </c>
      <c r="D47" s="7">
        <v>20920</v>
      </c>
      <c r="E47" s="7">
        <v>17734</v>
      </c>
      <c r="F47" s="7">
        <v>13042</v>
      </c>
      <c r="G47" s="8">
        <f t="shared" si="3"/>
        <v>20.92</v>
      </c>
      <c r="H47" s="8">
        <f t="shared" si="4"/>
        <v>17.734000000000002</v>
      </c>
      <c r="I47" s="9">
        <f t="shared" si="5"/>
        <v>1.6040484588253336</v>
      </c>
      <c r="J47" s="10"/>
    </row>
    <row r="48" spans="1:10" x14ac:dyDescent="0.3">
      <c r="A48" s="11" t="s">
        <v>55</v>
      </c>
      <c r="B48" s="12">
        <v>49.81</v>
      </c>
      <c r="C48" s="13">
        <v>3183</v>
      </c>
      <c r="D48" s="14">
        <v>20920</v>
      </c>
      <c r="E48" s="14">
        <v>18507</v>
      </c>
      <c r="F48" s="14">
        <v>12736</v>
      </c>
      <c r="G48" s="15">
        <f t="shared" si="3"/>
        <v>20.92</v>
      </c>
      <c r="H48" s="15">
        <f t="shared" si="4"/>
        <v>18.507000000000001</v>
      </c>
      <c r="I48" s="16">
        <f t="shared" si="5"/>
        <v>1.6425879396984924</v>
      </c>
      <c r="J48" s="17"/>
    </row>
    <row r="49" spans="1:10" x14ac:dyDescent="0.3">
      <c r="A49" s="4" t="s">
        <v>56</v>
      </c>
      <c r="B49" s="5">
        <v>43.21</v>
      </c>
      <c r="C49" s="6">
        <v>2710</v>
      </c>
      <c r="D49" s="7">
        <v>20728</v>
      </c>
      <c r="E49" s="7">
        <v>18872</v>
      </c>
      <c r="F49" s="7">
        <v>9510</v>
      </c>
      <c r="G49" s="8">
        <f t="shared" si="3"/>
        <v>20.728000000000002</v>
      </c>
      <c r="H49" s="8">
        <f t="shared" si="4"/>
        <v>18.872</v>
      </c>
      <c r="I49" s="9">
        <f t="shared" si="5"/>
        <v>2.1796004206098845</v>
      </c>
      <c r="J49" s="10"/>
    </row>
    <row r="50" spans="1:10" x14ac:dyDescent="0.3">
      <c r="A50" s="11" t="s">
        <v>57</v>
      </c>
      <c r="B50" s="12">
        <v>48.43</v>
      </c>
      <c r="C50" s="13">
        <v>2895</v>
      </c>
      <c r="D50" s="14">
        <v>19229</v>
      </c>
      <c r="E50" s="14">
        <v>14636</v>
      </c>
      <c r="F50" s="14">
        <v>7306</v>
      </c>
      <c r="G50" s="15">
        <f t="shared" si="3"/>
        <v>19.228999999999999</v>
      </c>
      <c r="H50" s="15">
        <f t="shared" si="4"/>
        <v>14.635999999999999</v>
      </c>
      <c r="I50" s="16">
        <f t="shared" si="5"/>
        <v>2.6319463454694771</v>
      </c>
      <c r="J50" s="17"/>
    </row>
    <row r="51" spans="1:10" x14ac:dyDescent="0.3">
      <c r="A51" s="4" t="s">
        <v>58</v>
      </c>
      <c r="B51" s="5">
        <v>30.09</v>
      </c>
      <c r="C51" s="6">
        <v>3233</v>
      </c>
      <c r="D51" s="7">
        <v>19077</v>
      </c>
      <c r="E51" s="7">
        <v>16887</v>
      </c>
      <c r="F51" s="7">
        <v>8180</v>
      </c>
      <c r="G51" s="8">
        <f t="shared" si="3"/>
        <v>19.077000000000002</v>
      </c>
      <c r="H51" s="8">
        <f t="shared" si="4"/>
        <v>16.887</v>
      </c>
      <c r="I51" s="9">
        <f t="shared" si="5"/>
        <v>2.3321515892420539</v>
      </c>
      <c r="J51" s="10"/>
    </row>
    <row r="52" spans="1:10" x14ac:dyDescent="0.3">
      <c r="A52" s="11" t="s">
        <v>59</v>
      </c>
      <c r="B52" s="12">
        <v>26.89</v>
      </c>
      <c r="C52" s="13">
        <v>2114</v>
      </c>
      <c r="D52" s="14">
        <v>17148</v>
      </c>
      <c r="E52" s="14">
        <v>15942</v>
      </c>
      <c r="F52" s="14">
        <v>7664</v>
      </c>
      <c r="G52" s="15">
        <f t="shared" si="3"/>
        <v>17.148</v>
      </c>
      <c r="H52" s="15">
        <f t="shared" si="4"/>
        <v>15.942</v>
      </c>
      <c r="I52" s="16">
        <f t="shared" si="5"/>
        <v>2.2374739039665972</v>
      </c>
      <c r="J52" s="17"/>
    </row>
    <row r="53" spans="1:10" x14ac:dyDescent="0.3">
      <c r="A53" s="18" t="s">
        <v>60</v>
      </c>
      <c r="B53" s="19">
        <v>36.46</v>
      </c>
      <c r="C53" s="20">
        <v>2605</v>
      </c>
      <c r="D53" s="21">
        <v>13582</v>
      </c>
      <c r="E53" s="21">
        <v>10484</v>
      </c>
      <c r="F53" s="21">
        <v>3603</v>
      </c>
      <c r="G53" s="22">
        <f t="shared" si="3"/>
        <v>13.582000000000001</v>
      </c>
      <c r="H53" s="22">
        <f t="shared" si="4"/>
        <v>10.484</v>
      </c>
      <c r="I53" s="23">
        <f t="shared" si="5"/>
        <v>3.7696364140993617</v>
      </c>
      <c r="J53" s="24"/>
    </row>
    <row r="54" spans="1:10" x14ac:dyDescent="0.3">
      <c r="A54" s="11" t="s">
        <v>61</v>
      </c>
      <c r="B54" s="12">
        <v>190.66</v>
      </c>
      <c r="C54" s="13">
        <v>7672</v>
      </c>
      <c r="D54" s="14">
        <v>13441</v>
      </c>
      <c r="E54" s="14">
        <v>8605</v>
      </c>
      <c r="F54" s="14">
        <v>5896</v>
      </c>
      <c r="G54" s="15">
        <f t="shared" si="3"/>
        <v>13.441000000000001</v>
      </c>
      <c r="H54" s="15">
        <f t="shared" si="4"/>
        <v>8.6050000000000004</v>
      </c>
      <c r="I54" s="16">
        <f t="shared" si="5"/>
        <v>2.2796811397557666</v>
      </c>
      <c r="J54" s="17"/>
    </row>
    <row r="55" spans="1:10" x14ac:dyDescent="0.3">
      <c r="A55" s="18" t="s">
        <v>62</v>
      </c>
      <c r="B55" s="19">
        <v>33.869999999999997</v>
      </c>
      <c r="C55" s="20">
        <v>2696</v>
      </c>
      <c r="D55" s="21">
        <v>13311</v>
      </c>
      <c r="E55" s="21">
        <v>11507</v>
      </c>
      <c r="F55" s="21">
        <v>3966</v>
      </c>
      <c r="G55" s="22">
        <f t="shared" si="3"/>
        <v>13.311</v>
      </c>
      <c r="H55" s="22">
        <f t="shared" si="4"/>
        <v>11.507</v>
      </c>
      <c r="I55" s="23">
        <f t="shared" si="5"/>
        <v>3.3562783661119515</v>
      </c>
      <c r="J55" s="24"/>
    </row>
    <row r="56" spans="1:10" x14ac:dyDescent="0.3">
      <c r="A56" s="18" t="s">
        <v>63</v>
      </c>
      <c r="B56" s="19">
        <v>41.44</v>
      </c>
      <c r="C56" s="20">
        <v>2838</v>
      </c>
      <c r="D56" s="21">
        <v>12888</v>
      </c>
      <c r="E56" s="21">
        <v>11162</v>
      </c>
      <c r="F56" s="21">
        <v>4215</v>
      </c>
      <c r="G56" s="22">
        <f t="shared" si="3"/>
        <v>12.888</v>
      </c>
      <c r="H56" s="22">
        <f t="shared" si="4"/>
        <v>11.162000000000001</v>
      </c>
      <c r="I56" s="23">
        <f t="shared" si="5"/>
        <v>3.0576512455516016</v>
      </c>
      <c r="J56" s="24"/>
    </row>
    <row r="57" spans="1:10" x14ac:dyDescent="0.3">
      <c r="A57" s="18" t="s">
        <v>64</v>
      </c>
      <c r="B57" s="19">
        <v>3.24</v>
      </c>
      <c r="C57" s="20">
        <v>1056</v>
      </c>
      <c r="D57" s="21">
        <v>12251</v>
      </c>
      <c r="E57" s="21">
        <v>11025</v>
      </c>
      <c r="F57" s="21">
        <v>3969</v>
      </c>
      <c r="G57" s="22">
        <f t="shared" si="3"/>
        <v>12.250999999999999</v>
      </c>
      <c r="H57" s="22">
        <f t="shared" si="4"/>
        <v>11.025</v>
      </c>
      <c r="I57" s="23">
        <f t="shared" si="5"/>
        <v>3.0866717057193247</v>
      </c>
      <c r="J57" s="24"/>
    </row>
    <row r="58" spans="1:10" x14ac:dyDescent="0.3">
      <c r="A58" s="11" t="s">
        <v>65</v>
      </c>
      <c r="B58" s="12">
        <v>31.8</v>
      </c>
      <c r="C58" s="13">
        <v>2339</v>
      </c>
      <c r="D58" s="14">
        <v>11950</v>
      </c>
      <c r="E58" s="14">
        <v>10412</v>
      </c>
      <c r="F58" s="14">
        <v>4262</v>
      </c>
      <c r="G58" s="15">
        <f t="shared" si="3"/>
        <v>11.95</v>
      </c>
      <c r="H58" s="15">
        <f t="shared" si="4"/>
        <v>10.412000000000001</v>
      </c>
      <c r="I58" s="16">
        <f t="shared" si="5"/>
        <v>2.8038479587048335</v>
      </c>
      <c r="J58" s="17"/>
    </row>
    <row r="59" spans="1:10" x14ac:dyDescent="0.3">
      <c r="A59" s="4" t="s">
        <v>66</v>
      </c>
      <c r="B59" s="5">
        <v>189.65</v>
      </c>
      <c r="C59" s="6">
        <v>6663</v>
      </c>
      <c r="D59" s="7">
        <v>11895</v>
      </c>
      <c r="E59" s="7">
        <v>6633</v>
      </c>
      <c r="F59" s="7">
        <v>5929</v>
      </c>
      <c r="G59" s="8">
        <f t="shared" si="3"/>
        <v>11.895</v>
      </c>
      <c r="H59" s="8">
        <f t="shared" si="4"/>
        <v>6.633</v>
      </c>
      <c r="I59" s="9">
        <f t="shared" si="5"/>
        <v>2.0062405127340193</v>
      </c>
      <c r="J59" s="10"/>
    </row>
    <row r="60" spans="1:10" x14ac:dyDescent="0.3">
      <c r="A60" s="11" t="s">
        <v>67</v>
      </c>
      <c r="B60" s="12">
        <v>303.58</v>
      </c>
      <c r="C60" s="13">
        <v>7626</v>
      </c>
      <c r="D60" s="14">
        <v>11692</v>
      </c>
      <c r="E60" s="14">
        <v>6784</v>
      </c>
      <c r="F60" s="14">
        <v>6059</v>
      </c>
      <c r="G60" s="15">
        <f t="shared" si="3"/>
        <v>11.692</v>
      </c>
      <c r="H60" s="15">
        <f t="shared" si="4"/>
        <v>6.7839999999999998</v>
      </c>
      <c r="I60" s="16">
        <f t="shared" si="5"/>
        <v>1.9296913682125763</v>
      </c>
      <c r="J60" s="17"/>
    </row>
    <row r="61" spans="1:10" x14ac:dyDescent="0.3">
      <c r="A61" s="18" t="s">
        <v>68</v>
      </c>
      <c r="B61" s="19">
        <v>159.81</v>
      </c>
      <c r="C61" s="20">
        <v>5989</v>
      </c>
      <c r="D61" s="21">
        <v>11676</v>
      </c>
      <c r="E61" s="21">
        <v>3270</v>
      </c>
      <c r="F61" s="21">
        <v>623</v>
      </c>
      <c r="G61" s="22">
        <f t="shared" si="3"/>
        <v>11.676</v>
      </c>
      <c r="H61" s="22">
        <f t="shared" si="4"/>
        <v>3.27</v>
      </c>
      <c r="I61" s="23">
        <f t="shared" si="5"/>
        <v>18.741573033707866</v>
      </c>
      <c r="J61" s="24"/>
    </row>
    <row r="62" spans="1:10" x14ac:dyDescent="0.3">
      <c r="A62" s="18" t="s">
        <v>69</v>
      </c>
      <c r="B62" s="19">
        <v>72.52</v>
      </c>
      <c r="C62" s="20">
        <v>3558</v>
      </c>
      <c r="D62" s="21">
        <v>11672</v>
      </c>
      <c r="E62" s="21">
        <v>8228</v>
      </c>
      <c r="F62" s="21">
        <v>1840</v>
      </c>
      <c r="G62" s="22">
        <f t="shared" si="3"/>
        <v>11.672000000000001</v>
      </c>
      <c r="H62" s="22">
        <f t="shared" si="4"/>
        <v>8.2279999999999998</v>
      </c>
      <c r="I62" s="23">
        <f t="shared" si="5"/>
        <v>6.3434782608695652</v>
      </c>
      <c r="J62" s="24"/>
    </row>
    <row r="63" spans="1:10" x14ac:dyDescent="0.3">
      <c r="A63" s="18" t="s">
        <v>70</v>
      </c>
      <c r="B63" s="19">
        <v>286.07</v>
      </c>
      <c r="C63" s="20">
        <v>6866</v>
      </c>
      <c r="D63" s="21">
        <v>11368</v>
      </c>
      <c r="E63" s="21">
        <v>5235</v>
      </c>
      <c r="F63" s="21">
        <v>2661</v>
      </c>
      <c r="G63" s="22">
        <f t="shared" si="3"/>
        <v>11.368</v>
      </c>
      <c r="H63" s="22">
        <f t="shared" si="4"/>
        <v>5.2350000000000003</v>
      </c>
      <c r="I63" s="23">
        <f t="shared" si="5"/>
        <v>4.2720781661029692</v>
      </c>
      <c r="J63" s="24"/>
    </row>
    <row r="64" spans="1:10" x14ac:dyDescent="0.3">
      <c r="A64" s="18" t="s">
        <v>71</v>
      </c>
      <c r="B64" s="19">
        <v>49.08</v>
      </c>
      <c r="C64" s="20">
        <v>3023</v>
      </c>
      <c r="D64" s="21">
        <v>11350</v>
      </c>
      <c r="E64" s="21">
        <v>9910</v>
      </c>
      <c r="F64" s="21">
        <v>3629</v>
      </c>
      <c r="G64" s="22">
        <f t="shared" si="3"/>
        <v>11.35</v>
      </c>
      <c r="H64" s="22">
        <f t="shared" si="4"/>
        <v>9.91</v>
      </c>
      <c r="I64" s="23">
        <f t="shared" si="5"/>
        <v>3.1275833562965003</v>
      </c>
      <c r="J64" s="24"/>
    </row>
    <row r="65" spans="1:10" x14ac:dyDescent="0.3">
      <c r="A65" s="18" t="s">
        <v>72</v>
      </c>
      <c r="B65" s="19">
        <v>40.44</v>
      </c>
      <c r="C65" s="20">
        <v>2957</v>
      </c>
      <c r="D65" s="21">
        <v>11286</v>
      </c>
      <c r="E65" s="21">
        <v>9890</v>
      </c>
      <c r="F65" s="21">
        <v>2698</v>
      </c>
      <c r="G65" s="22">
        <f t="shared" si="3"/>
        <v>11.286</v>
      </c>
      <c r="H65" s="22">
        <f t="shared" si="4"/>
        <v>9.89</v>
      </c>
      <c r="I65" s="23">
        <f t="shared" si="5"/>
        <v>4.183098591549296</v>
      </c>
      <c r="J65" s="24"/>
    </row>
    <row r="66" spans="1:10" x14ac:dyDescent="0.3">
      <c r="A66" s="18" t="s">
        <v>73</v>
      </c>
      <c r="B66" s="19">
        <v>172.75</v>
      </c>
      <c r="C66" s="20">
        <v>5905</v>
      </c>
      <c r="D66" s="21">
        <v>11112</v>
      </c>
      <c r="E66" s="21">
        <v>8708</v>
      </c>
      <c r="F66" s="21">
        <v>2656</v>
      </c>
      <c r="G66" s="22">
        <f t="shared" si="3"/>
        <v>11.112</v>
      </c>
      <c r="H66" s="22">
        <f t="shared" si="4"/>
        <v>8.7080000000000002</v>
      </c>
      <c r="I66" s="23">
        <f t="shared" si="5"/>
        <v>4.1837349397590362</v>
      </c>
      <c r="J66" s="24"/>
    </row>
    <row r="67" spans="1:10" x14ac:dyDescent="0.3">
      <c r="A67" s="18" t="s">
        <v>74</v>
      </c>
      <c r="B67" s="19">
        <v>39.74</v>
      </c>
      <c r="C67" s="20">
        <v>3355</v>
      </c>
      <c r="D67" s="21">
        <v>10475</v>
      </c>
      <c r="E67" s="21">
        <v>8192</v>
      </c>
      <c r="F67" s="21">
        <v>1816</v>
      </c>
      <c r="G67" s="22">
        <f t="shared" si="3"/>
        <v>10.475</v>
      </c>
      <c r="H67" s="22">
        <f t="shared" si="4"/>
        <v>8.1920000000000002</v>
      </c>
      <c r="I67" s="23">
        <f t="shared" si="5"/>
        <v>5.768171806167401</v>
      </c>
      <c r="J67" s="24"/>
    </row>
    <row r="68" spans="1:10" x14ac:dyDescent="0.3">
      <c r="A68" s="11" t="s">
        <v>75</v>
      </c>
      <c r="B68" s="12">
        <v>46.34</v>
      </c>
      <c r="C68" s="13">
        <v>2872</v>
      </c>
      <c r="D68" s="14">
        <v>9323</v>
      </c>
      <c r="E68" s="14">
        <v>7539</v>
      </c>
      <c r="F68" s="14">
        <v>5202</v>
      </c>
      <c r="G68" s="15">
        <f t="shared" si="3"/>
        <v>9.3230000000000004</v>
      </c>
      <c r="H68" s="15">
        <f t="shared" si="4"/>
        <v>7.5389999999999997</v>
      </c>
      <c r="I68" s="16">
        <f t="shared" si="5"/>
        <v>1.7921953094963476</v>
      </c>
      <c r="J68" s="17"/>
    </row>
    <row r="69" spans="1:10" x14ac:dyDescent="0.3">
      <c r="A69" s="18" t="s">
        <v>76</v>
      </c>
      <c r="B69" s="19">
        <v>93.41</v>
      </c>
      <c r="C69" s="20">
        <v>4212</v>
      </c>
      <c r="D69" s="21">
        <v>9273</v>
      </c>
      <c r="E69" s="21">
        <v>4333</v>
      </c>
      <c r="F69" s="21">
        <v>539</v>
      </c>
      <c r="G69" s="22">
        <f t="shared" ref="G69:G74" si="6">D69/1000</f>
        <v>9.2729999999999997</v>
      </c>
      <c r="H69" s="22">
        <f t="shared" ref="H69:H74" si="7">E69/1000</f>
        <v>4.3330000000000002</v>
      </c>
      <c r="I69" s="23">
        <f t="shared" ref="I69:I74" si="8">IFERROR(D69/F69,"")</f>
        <v>17.204081632653061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9148</v>
      </c>
      <c r="E70" s="21">
        <v>4725</v>
      </c>
      <c r="F70" s="21">
        <v>554</v>
      </c>
      <c r="G70" s="22">
        <f t="shared" si="6"/>
        <v>9.1479999999999997</v>
      </c>
      <c r="H70" s="22">
        <f t="shared" si="7"/>
        <v>4.7249999999999996</v>
      </c>
      <c r="I70" s="23">
        <f t="shared" si="8"/>
        <v>16.512635379061372</v>
      </c>
      <c r="J70" s="24"/>
    </row>
    <row r="71" spans="1:10" x14ac:dyDescent="0.3">
      <c r="A71" s="18" t="s">
        <v>78</v>
      </c>
      <c r="B71" s="19">
        <v>30.12</v>
      </c>
      <c r="C71" s="20">
        <v>2592</v>
      </c>
      <c r="D71" s="21">
        <v>8857</v>
      </c>
      <c r="E71" s="21">
        <v>7324</v>
      </c>
      <c r="F71" s="21">
        <v>929</v>
      </c>
      <c r="G71" s="22">
        <f t="shared" si="6"/>
        <v>8.8569999999999993</v>
      </c>
      <c r="H71" s="22">
        <f t="shared" si="7"/>
        <v>7.3239999999999998</v>
      </c>
      <c r="I71" s="23">
        <f t="shared" si="8"/>
        <v>9.5339074273412265</v>
      </c>
      <c r="J71" s="24"/>
    </row>
    <row r="72" spans="1:10" x14ac:dyDescent="0.3">
      <c r="A72" s="18" t="s">
        <v>79</v>
      </c>
      <c r="B72" s="19">
        <v>127.8</v>
      </c>
      <c r="C72" s="20">
        <v>5228</v>
      </c>
      <c r="D72" s="21">
        <v>7078</v>
      </c>
      <c r="E72" s="21">
        <v>409</v>
      </c>
      <c r="F72" s="21">
        <v>289</v>
      </c>
      <c r="G72" s="22">
        <f t="shared" si="6"/>
        <v>7.0780000000000003</v>
      </c>
      <c r="H72" s="22">
        <f t="shared" si="7"/>
        <v>0.40899999999999997</v>
      </c>
      <c r="I72" s="23">
        <f t="shared" si="8"/>
        <v>24.491349480968857</v>
      </c>
      <c r="J72" s="24"/>
    </row>
    <row r="73" spans="1:10" x14ac:dyDescent="0.3">
      <c r="A73" s="18" t="s">
        <v>80</v>
      </c>
      <c r="B73" s="19">
        <v>110.29</v>
      </c>
      <c r="C73" s="20">
        <v>5351</v>
      </c>
      <c r="D73" s="21">
        <v>5759</v>
      </c>
      <c r="E73" s="21">
        <v>172</v>
      </c>
      <c r="F73" s="21">
        <v>172</v>
      </c>
      <c r="G73" s="22">
        <f t="shared" si="6"/>
        <v>5.7590000000000003</v>
      </c>
      <c r="H73" s="22">
        <f t="shared" si="7"/>
        <v>0.17199999999999999</v>
      </c>
      <c r="I73" s="23">
        <f t="shared" si="8"/>
        <v>33.482558139534881</v>
      </c>
      <c r="J73" s="24"/>
    </row>
    <row r="74" spans="1:10" x14ac:dyDescent="0.3">
      <c r="A74" s="18" t="s">
        <v>81</v>
      </c>
      <c r="B74" s="19">
        <v>29.65</v>
      </c>
      <c r="C74" s="20">
        <v>2527</v>
      </c>
      <c r="D74" s="21">
        <v>2125</v>
      </c>
      <c r="E74" s="21">
        <v>250</v>
      </c>
      <c r="F74" s="21">
        <v>250</v>
      </c>
      <c r="G74" s="22">
        <f t="shared" si="6"/>
        <v>2.125</v>
      </c>
      <c r="H74" s="22">
        <f t="shared" si="7"/>
        <v>0.25</v>
      </c>
      <c r="I74" s="23">
        <f t="shared" si="8"/>
        <v>8.5</v>
      </c>
      <c r="J74" s="24"/>
    </row>
    <row r="76" spans="1:10" x14ac:dyDescent="0.3">
      <c r="A76" s="25" t="s">
        <v>82</v>
      </c>
      <c r="B76" s="26">
        <f>SUM(B5:B74)</f>
        <v>5758.61</v>
      </c>
      <c r="D76" s="27">
        <f>MAX(D5:D74)</f>
        <v>32882</v>
      </c>
      <c r="G76" s="28">
        <f>IFERROR(MAX(G5:G74),"")</f>
        <v>32.881999999999998</v>
      </c>
      <c r="I76" s="29">
        <f>IFERROR(AVERAGE(I5:I74),"")</f>
        <v>4.0430925720190487</v>
      </c>
    </row>
    <row r="77" spans="1:10" x14ac:dyDescent="0.3">
      <c r="A77" s="30" t="s">
        <v>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84</v>
      </c>
    </row>
    <row r="3" spans="1:2" ht="30" customHeight="1" x14ac:dyDescent="0.3">
      <c r="A3" s="32" t="s">
        <v>85</v>
      </c>
      <c r="B3" s="33" t="s">
        <v>86</v>
      </c>
    </row>
    <row r="4" spans="1:2" ht="30" customHeight="1" x14ac:dyDescent="0.3">
      <c r="A4" s="32" t="s">
        <v>87</v>
      </c>
      <c r="B4" s="33" t="s">
        <v>88</v>
      </c>
    </row>
    <row r="5" spans="1:2" ht="30" customHeight="1" x14ac:dyDescent="0.3">
      <c r="A5" s="32" t="s">
        <v>89</v>
      </c>
      <c r="B5" s="33" t="s">
        <v>90</v>
      </c>
    </row>
    <row r="6" spans="1:2" ht="30" customHeight="1" x14ac:dyDescent="0.3">
      <c r="A6" s="32" t="s">
        <v>91</v>
      </c>
      <c r="B6" s="33" t="s">
        <v>92</v>
      </c>
    </row>
    <row r="7" spans="1:2" ht="30" customHeight="1" x14ac:dyDescent="0.3">
      <c r="A7" s="32" t="s">
        <v>93</v>
      </c>
      <c r="B7" s="33" t="s">
        <v>94</v>
      </c>
    </row>
    <row r="8" spans="1:2" ht="30" customHeight="1" x14ac:dyDescent="0.3">
      <c r="A8" s="32" t="s">
        <v>95</v>
      </c>
      <c r="B8" s="33" t="s">
        <v>96</v>
      </c>
    </row>
    <row r="9" spans="1:2" ht="30" customHeight="1" x14ac:dyDescent="0.3">
      <c r="A9" s="32" t="s">
        <v>97</v>
      </c>
      <c r="B9" s="33" t="s">
        <v>98</v>
      </c>
    </row>
    <row r="10" spans="1:2" ht="30" customHeight="1" x14ac:dyDescent="0.3">
      <c r="A10" s="32" t="s">
        <v>99</v>
      </c>
      <c r="B10" s="33" t="s">
        <v>100</v>
      </c>
    </row>
    <row r="11" spans="1:2" ht="30" customHeight="1" x14ac:dyDescent="0.3">
      <c r="A11" s="32" t="s">
        <v>101</v>
      </c>
      <c r="B11" s="33" t="s">
        <v>102</v>
      </c>
    </row>
    <row r="12" spans="1:2" ht="30" customHeight="1" x14ac:dyDescent="0.3">
      <c r="A12" s="32" t="s">
        <v>103</v>
      </c>
      <c r="B12" s="33" t="s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2026-09-15T19:18:26Z</dcterms:created>
  <dcterms:modified xsi:type="dcterms:W3CDTF">2026-09-15T19:18:58Z</dcterms:modified>
</cp:coreProperties>
</file>