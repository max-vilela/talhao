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A80D2A3C-6A57-4981-B255-8E947EBDFF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I57" i="1" s="1"/>
  <c r="H7" i="1"/>
  <c r="G7" i="1"/>
  <c r="I6" i="1"/>
  <c r="H6" i="1"/>
  <c r="G6" i="1"/>
  <c r="I5" i="1"/>
  <c r="H5" i="1"/>
  <c r="G5" i="1"/>
  <c r="G57" i="1" l="1"/>
</calcChain>
</file>

<file path=xl/sharedStrings.xml><?xml version="1.0" encoding="utf-8"?>
<sst xmlns="http://schemas.openxmlformats.org/spreadsheetml/2006/main" count="110" uniqueCount="89">
  <si>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</si>
  <si>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</si>
  <si>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</si>
  <si>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</si>
  <si>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</si>
  <si>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</si>
  <si>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</si>
  <si>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</si>
  <si>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</si>
  <si>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</si>
  <si>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</si>
  <si>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</si>
  <si>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T-23</t>
  </si>
  <si>
    <t>T-20</t>
  </si>
  <si>
    <t>T-12</t>
  </si>
  <si>
    <t>T-19</t>
  </si>
  <si>
    <t>T-24</t>
  </si>
  <si>
    <t>T-05B</t>
  </si>
  <si>
    <t>T-17</t>
  </si>
  <si>
    <t>T-05A</t>
  </si>
  <si>
    <t>T-05S</t>
  </si>
  <si>
    <t>T-04</t>
  </si>
  <si>
    <t>T-18</t>
  </si>
  <si>
    <t>T-16B</t>
  </si>
  <si>
    <t>T-15B</t>
  </si>
  <si>
    <t>T-06B</t>
  </si>
  <si>
    <t>T31</t>
  </si>
  <si>
    <t>T-15C</t>
  </si>
  <si>
    <t>T-06A</t>
  </si>
  <si>
    <t>T-03</t>
  </si>
  <si>
    <t>T-07B</t>
  </si>
  <si>
    <t>T-16A</t>
  </si>
  <si>
    <t>T-07A</t>
  </si>
  <si>
    <t>T-02</t>
  </si>
  <si>
    <t>T-15A</t>
  </si>
  <si>
    <t>T30</t>
  </si>
  <si>
    <t>T-08</t>
  </si>
  <si>
    <t>T-14</t>
  </si>
  <si>
    <t>T-01C</t>
  </si>
  <si>
    <t>T-22</t>
  </si>
  <si>
    <t>T-22A</t>
  </si>
  <si>
    <t>T-09</t>
  </si>
  <si>
    <t>T-13</t>
  </si>
  <si>
    <t>T-01A</t>
  </si>
  <si>
    <t>T-20S</t>
  </si>
  <si>
    <t>T-21</t>
  </si>
  <si>
    <t>T-01B</t>
  </si>
  <si>
    <t>T-21A</t>
  </si>
  <si>
    <t>T-10B</t>
  </si>
  <si>
    <t>T-10A</t>
  </si>
  <si>
    <t>T-10S</t>
  </si>
  <si>
    <t>T-11</t>
  </si>
  <si>
    <t>T-12S</t>
  </si>
  <si>
    <t>T-11A</t>
  </si>
  <si>
    <t>T-26</t>
  </si>
  <si>
    <t>T-27</t>
  </si>
  <si>
    <t>T-25</t>
  </si>
  <si>
    <t>T-28</t>
  </si>
  <si>
    <t>T-29</t>
  </si>
  <si>
    <t>T33</t>
  </si>
  <si>
    <t>sem acesso</t>
  </si>
  <si>
    <t>—</t>
  </si>
  <si>
    <t>sem estrada até este talhão</t>
  </si>
  <si>
    <t>T34</t>
  </si>
  <si>
    <t>T37</t>
  </si>
  <si>
    <t>T38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</si>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</sst>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3" fontId="8" fillId="3" borderId="1" xfId="0" applyNumberFormat="1" applyFont="1" applyFill="1" applyBorder="1"/>
    <xf numFmtId="4" fontId="5" fillId="3" borderId="1" xfId="0" applyNumberFormat="1" applyFont="1" applyFill="1" applyBorder="1" applyAlignment="1">
      <alignment horizontal="right"/>
    </xf>
    <xf numFmtId="2" fontId="5" fillId="3" borderId="1" xfId="0" applyNumberFormat="1" applyFont="1" applyFill="1" applyBorder="1" applyAlignment="1">
      <alignment horizontal="right"/>
    </xf>
    <xf numFmtId="0" fontId="9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201.87</v>
      </c>
      <c r="C5" s="6">
        <v>6413</v>
      </c>
      <c r="D5" s="7">
        <v>39828</v>
      </c>
      <c r="E5" s="7">
        <v>36213</v>
      </c>
      <c r="F5" s="7">
        <v>11986</v>
      </c>
      <c r="G5" s="8">
        <f t="shared" ref="G5:G51" si="0">D5/1000</f>
        <v>39.828000000000003</v>
      </c>
      <c r="H5" s="8">
        <f t="shared" ref="H5:H51" si="1">E5/1000</f>
        <v>36.213000000000001</v>
      </c>
      <c r="I5" s="9">
        <f t="shared" ref="I5:I51" si="2">IFERROR(D5/F5,"")</f>
        <v>3.3228766894710495</v>
      </c>
      <c r="J5" s="10"/>
    </row>
    <row r="6" spans="1:10" x14ac:dyDescent="0.3">
      <c r="A6" s="4" t="s">
        <v>13</v>
      </c>
      <c r="B6" s="5">
        <v>140.68</v>
      </c>
      <c r="C6" s="6">
        <v>4965</v>
      </c>
      <c r="D6" s="7">
        <v>36293</v>
      </c>
      <c r="E6" s="7">
        <v>34692</v>
      </c>
      <c r="F6" s="7">
        <v>10711</v>
      </c>
      <c r="G6" s="8">
        <f t="shared" si="0"/>
        <v>36.292999999999999</v>
      </c>
      <c r="H6" s="8">
        <f t="shared" si="1"/>
        <v>34.692</v>
      </c>
      <c r="I6" s="9">
        <f t="shared" si="2"/>
        <v>3.388385771636635</v>
      </c>
      <c r="J6" s="10"/>
    </row>
    <row r="7" spans="1:10" x14ac:dyDescent="0.3">
      <c r="A7" s="4" t="s">
        <v>14</v>
      </c>
      <c r="B7" s="5">
        <v>174.68</v>
      </c>
      <c r="C7" s="6">
        <v>5276</v>
      </c>
      <c r="D7" s="7">
        <v>35804</v>
      </c>
      <c r="E7" s="7">
        <v>34302</v>
      </c>
      <c r="F7" s="7">
        <v>9459</v>
      </c>
      <c r="G7" s="8">
        <f t="shared" si="0"/>
        <v>35.804000000000002</v>
      </c>
      <c r="H7" s="8">
        <f t="shared" si="1"/>
        <v>34.302</v>
      </c>
      <c r="I7" s="9">
        <f t="shared" si="2"/>
        <v>3.785178137223808</v>
      </c>
      <c r="J7" s="10"/>
    </row>
    <row r="8" spans="1:10" x14ac:dyDescent="0.3">
      <c r="A8" s="11" t="s">
        <v>15</v>
      </c>
      <c r="B8" s="12">
        <v>150.72</v>
      </c>
      <c r="C8" s="13">
        <v>5638</v>
      </c>
      <c r="D8" s="14">
        <v>31060</v>
      </c>
      <c r="E8" s="14">
        <v>28518</v>
      </c>
      <c r="F8" s="14">
        <v>13240</v>
      </c>
      <c r="G8" s="15">
        <f t="shared" si="0"/>
        <v>31.06</v>
      </c>
      <c r="H8" s="15">
        <f t="shared" si="1"/>
        <v>28.518000000000001</v>
      </c>
      <c r="I8" s="16">
        <f t="shared" si="2"/>
        <v>2.3459214501510575</v>
      </c>
      <c r="J8" s="17"/>
    </row>
    <row r="9" spans="1:10" x14ac:dyDescent="0.3">
      <c r="A9" s="18" t="s">
        <v>16</v>
      </c>
      <c r="B9" s="19">
        <v>83.32</v>
      </c>
      <c r="C9" s="20">
        <v>3691</v>
      </c>
      <c r="D9" s="21">
        <v>28627</v>
      </c>
      <c r="E9" s="21">
        <v>27162</v>
      </c>
      <c r="F9" s="21">
        <v>15125</v>
      </c>
      <c r="G9" s="22">
        <f t="shared" si="0"/>
        <v>28.626999999999999</v>
      </c>
      <c r="H9" s="22">
        <f t="shared" si="1"/>
        <v>27.161999999999999</v>
      </c>
      <c r="I9" s="23">
        <f t="shared" si="2"/>
        <v>1.8926942148760331</v>
      </c>
      <c r="J9" s="24"/>
    </row>
    <row r="10" spans="1:10" x14ac:dyDescent="0.3">
      <c r="A10" s="11" t="s">
        <v>17</v>
      </c>
      <c r="B10" s="12">
        <v>124.34</v>
      </c>
      <c r="C10" s="13">
        <v>4758</v>
      </c>
      <c r="D10" s="14">
        <v>25385</v>
      </c>
      <c r="E10" s="14">
        <v>24763</v>
      </c>
      <c r="F10" s="14">
        <v>15004</v>
      </c>
      <c r="G10" s="15">
        <f t="shared" si="0"/>
        <v>25.385000000000002</v>
      </c>
      <c r="H10" s="15">
        <f t="shared" si="1"/>
        <v>24.763000000000002</v>
      </c>
      <c r="I10" s="16">
        <f t="shared" si="2"/>
        <v>1.6918821647560651</v>
      </c>
      <c r="J10" s="17"/>
    </row>
    <row r="11" spans="1:10" x14ac:dyDescent="0.3">
      <c r="A11" s="18" t="s">
        <v>18</v>
      </c>
      <c r="B11" s="19">
        <v>140.75</v>
      </c>
      <c r="C11" s="20">
        <v>5173</v>
      </c>
      <c r="D11" s="21">
        <v>25382</v>
      </c>
      <c r="E11" s="21">
        <v>23120</v>
      </c>
      <c r="F11" s="21">
        <v>15747</v>
      </c>
      <c r="G11" s="22">
        <f t="shared" si="0"/>
        <v>25.382000000000001</v>
      </c>
      <c r="H11" s="22">
        <f t="shared" si="1"/>
        <v>23.12</v>
      </c>
      <c r="I11" s="23">
        <f t="shared" si="2"/>
        <v>1.6118625769987933</v>
      </c>
      <c r="J11" s="24"/>
    </row>
    <row r="12" spans="1:10" x14ac:dyDescent="0.3">
      <c r="A12" s="11" t="s">
        <v>19</v>
      </c>
      <c r="B12" s="12">
        <v>175.27</v>
      </c>
      <c r="C12" s="13">
        <v>5486</v>
      </c>
      <c r="D12" s="14">
        <v>24841</v>
      </c>
      <c r="E12" s="14">
        <v>23291</v>
      </c>
      <c r="F12" s="14">
        <v>13634</v>
      </c>
      <c r="G12" s="15">
        <f t="shared" si="0"/>
        <v>24.841000000000001</v>
      </c>
      <c r="H12" s="15">
        <f t="shared" si="1"/>
        <v>23.291</v>
      </c>
      <c r="I12" s="16">
        <f t="shared" si="2"/>
        <v>1.821989144785096</v>
      </c>
      <c r="J12" s="17"/>
    </row>
    <row r="13" spans="1:10" x14ac:dyDescent="0.3">
      <c r="A13" s="18" t="s">
        <v>20</v>
      </c>
      <c r="B13" s="19">
        <v>71.5</v>
      </c>
      <c r="C13" s="20">
        <v>4054</v>
      </c>
      <c r="D13" s="21">
        <v>24816</v>
      </c>
      <c r="E13" s="21">
        <v>24054</v>
      </c>
      <c r="F13" s="21">
        <v>14361</v>
      </c>
      <c r="G13" s="22">
        <f t="shared" si="0"/>
        <v>24.815999999999999</v>
      </c>
      <c r="H13" s="22">
        <f t="shared" si="1"/>
        <v>24.053999999999998</v>
      </c>
      <c r="I13" s="23">
        <f t="shared" si="2"/>
        <v>1.7280133695425111</v>
      </c>
      <c r="J13" s="24"/>
    </row>
    <row r="14" spans="1:10" x14ac:dyDescent="0.3">
      <c r="A14" s="11" t="s">
        <v>21</v>
      </c>
      <c r="B14" s="12">
        <v>302.63</v>
      </c>
      <c r="C14" s="13">
        <v>7372</v>
      </c>
      <c r="D14" s="14">
        <v>23342</v>
      </c>
      <c r="E14" s="14">
        <v>21162</v>
      </c>
      <c r="F14" s="14">
        <v>11657</v>
      </c>
      <c r="G14" s="15">
        <f t="shared" si="0"/>
        <v>23.341999999999999</v>
      </c>
      <c r="H14" s="15">
        <f t="shared" si="1"/>
        <v>21.161999999999999</v>
      </c>
      <c r="I14" s="16">
        <f t="shared" si="2"/>
        <v>2.0024019902204686</v>
      </c>
      <c r="J14" s="17"/>
    </row>
    <row r="15" spans="1:10" x14ac:dyDescent="0.3">
      <c r="A15" s="18" t="s">
        <v>22</v>
      </c>
      <c r="B15" s="19">
        <v>115.23</v>
      </c>
      <c r="C15" s="20">
        <v>4528</v>
      </c>
      <c r="D15" s="21">
        <v>23335</v>
      </c>
      <c r="E15" s="21">
        <v>22531</v>
      </c>
      <c r="F15" s="21">
        <v>14106</v>
      </c>
      <c r="G15" s="22">
        <f t="shared" si="0"/>
        <v>23.335000000000001</v>
      </c>
      <c r="H15" s="22">
        <f t="shared" si="1"/>
        <v>22.530999999999999</v>
      </c>
      <c r="I15" s="23">
        <f t="shared" si="2"/>
        <v>1.6542605983269532</v>
      </c>
      <c r="J15" s="24"/>
    </row>
    <row r="16" spans="1:10" x14ac:dyDescent="0.3">
      <c r="A16" s="11" t="s">
        <v>23</v>
      </c>
      <c r="B16" s="12">
        <v>66.459999999999994</v>
      </c>
      <c r="C16" s="13">
        <v>3913</v>
      </c>
      <c r="D16" s="14">
        <v>23178</v>
      </c>
      <c r="E16" s="14">
        <v>21042</v>
      </c>
      <c r="F16" s="14">
        <v>16110</v>
      </c>
      <c r="G16" s="15">
        <f t="shared" si="0"/>
        <v>23.178000000000001</v>
      </c>
      <c r="H16" s="15">
        <f t="shared" si="1"/>
        <v>21.042000000000002</v>
      </c>
      <c r="I16" s="16">
        <f t="shared" si="2"/>
        <v>1.438733705772812</v>
      </c>
      <c r="J16" s="17"/>
    </row>
    <row r="17" spans="1:10" x14ac:dyDescent="0.3">
      <c r="A17" s="18" t="s">
        <v>24</v>
      </c>
      <c r="B17" s="19">
        <v>80.430000000000007</v>
      </c>
      <c r="C17" s="20">
        <v>4103</v>
      </c>
      <c r="D17" s="21">
        <v>22284</v>
      </c>
      <c r="E17" s="21">
        <v>21674</v>
      </c>
      <c r="F17" s="21">
        <v>14168</v>
      </c>
      <c r="G17" s="22">
        <f t="shared" si="0"/>
        <v>22.283999999999999</v>
      </c>
      <c r="H17" s="22">
        <f t="shared" si="1"/>
        <v>21.673999999999999</v>
      </c>
      <c r="I17" s="23">
        <f t="shared" si="2"/>
        <v>1.572840203274986</v>
      </c>
      <c r="J17" s="24"/>
    </row>
    <row r="18" spans="1:10" x14ac:dyDescent="0.3">
      <c r="A18" s="11" t="s">
        <v>25</v>
      </c>
      <c r="B18" s="12">
        <v>144.9</v>
      </c>
      <c r="C18" s="13">
        <v>4944</v>
      </c>
      <c r="D18" s="14">
        <v>21610</v>
      </c>
      <c r="E18" s="14">
        <v>20631</v>
      </c>
      <c r="F18" s="14">
        <v>15014</v>
      </c>
      <c r="G18" s="15">
        <f t="shared" si="0"/>
        <v>21.61</v>
      </c>
      <c r="H18" s="15">
        <f t="shared" si="1"/>
        <v>20.631</v>
      </c>
      <c r="I18" s="16">
        <f t="shared" si="2"/>
        <v>1.439323298254962</v>
      </c>
      <c r="J18" s="17"/>
    </row>
    <row r="19" spans="1:10" x14ac:dyDescent="0.3">
      <c r="A19" s="18" t="s">
        <v>26</v>
      </c>
      <c r="B19" s="19">
        <v>239.17</v>
      </c>
      <c r="C19" s="20">
        <v>6359</v>
      </c>
      <c r="D19" s="21">
        <v>21504</v>
      </c>
      <c r="E19" s="21">
        <v>18621</v>
      </c>
      <c r="F19" s="21">
        <v>15489</v>
      </c>
      <c r="G19" s="22">
        <f t="shared" si="0"/>
        <v>21.504000000000001</v>
      </c>
      <c r="H19" s="22">
        <f t="shared" si="1"/>
        <v>18.620999999999999</v>
      </c>
      <c r="I19" s="23">
        <f t="shared" si="2"/>
        <v>1.3883401123377881</v>
      </c>
      <c r="J19" s="24"/>
    </row>
    <row r="20" spans="1:10" x14ac:dyDescent="0.3">
      <c r="A20" s="11" t="s">
        <v>27</v>
      </c>
      <c r="B20" s="12">
        <v>136.18</v>
      </c>
      <c r="C20" s="13">
        <v>4817</v>
      </c>
      <c r="D20" s="14">
        <v>21249</v>
      </c>
      <c r="E20" s="14">
        <v>19706</v>
      </c>
      <c r="F20" s="14">
        <v>14928</v>
      </c>
      <c r="G20" s="15">
        <f t="shared" si="0"/>
        <v>21.248999999999999</v>
      </c>
      <c r="H20" s="15">
        <f t="shared" si="1"/>
        <v>19.706</v>
      </c>
      <c r="I20" s="16">
        <f t="shared" si="2"/>
        <v>1.4234324758842443</v>
      </c>
      <c r="J20" s="17"/>
    </row>
    <row r="21" spans="1:10" x14ac:dyDescent="0.3">
      <c r="A21" s="18" t="s">
        <v>28</v>
      </c>
      <c r="B21" s="19">
        <v>132.93</v>
      </c>
      <c r="C21" s="20">
        <v>4758</v>
      </c>
      <c r="D21" s="21">
        <v>21215</v>
      </c>
      <c r="E21" s="21">
        <v>19669</v>
      </c>
      <c r="F21" s="21">
        <v>14217</v>
      </c>
      <c r="G21" s="22">
        <f t="shared" si="0"/>
        <v>21.215</v>
      </c>
      <c r="H21" s="22">
        <f t="shared" si="1"/>
        <v>19.669</v>
      </c>
      <c r="I21" s="23">
        <f t="shared" si="2"/>
        <v>1.4922276148273195</v>
      </c>
      <c r="J21" s="24"/>
    </row>
    <row r="22" spans="1:10" x14ac:dyDescent="0.3">
      <c r="A22" s="11" t="s">
        <v>29</v>
      </c>
      <c r="B22" s="12">
        <v>278.49</v>
      </c>
      <c r="C22" s="13">
        <v>7339</v>
      </c>
      <c r="D22" s="14">
        <v>21212</v>
      </c>
      <c r="E22" s="14">
        <v>19208</v>
      </c>
      <c r="F22" s="14">
        <v>9892</v>
      </c>
      <c r="G22" s="15">
        <f t="shared" si="0"/>
        <v>21.212</v>
      </c>
      <c r="H22" s="15">
        <f t="shared" si="1"/>
        <v>19.207999999999998</v>
      </c>
      <c r="I22" s="16">
        <f t="shared" si="2"/>
        <v>2.144359078042863</v>
      </c>
      <c r="J22" s="17"/>
    </row>
    <row r="23" spans="1:10" x14ac:dyDescent="0.3">
      <c r="A23" s="18" t="s">
        <v>30</v>
      </c>
      <c r="B23" s="19">
        <v>53.96</v>
      </c>
      <c r="C23" s="20">
        <v>3674</v>
      </c>
      <c r="D23" s="21">
        <v>21189</v>
      </c>
      <c r="E23" s="21">
        <v>19314</v>
      </c>
      <c r="F23" s="21">
        <v>13875</v>
      </c>
      <c r="G23" s="22">
        <f t="shared" si="0"/>
        <v>21.189</v>
      </c>
      <c r="H23" s="22">
        <f t="shared" si="1"/>
        <v>19.314</v>
      </c>
      <c r="I23" s="23">
        <f t="shared" si="2"/>
        <v>1.5271351351351352</v>
      </c>
      <c r="J23" s="24"/>
    </row>
    <row r="24" spans="1:10" x14ac:dyDescent="0.3">
      <c r="A24" s="11" t="s">
        <v>31</v>
      </c>
      <c r="B24" s="12">
        <v>56.03</v>
      </c>
      <c r="C24" s="13">
        <v>3746</v>
      </c>
      <c r="D24" s="14">
        <v>21092</v>
      </c>
      <c r="E24" s="14">
        <v>20631</v>
      </c>
      <c r="F24" s="14">
        <v>15750</v>
      </c>
      <c r="G24" s="15">
        <f t="shared" si="0"/>
        <v>21.091999999999999</v>
      </c>
      <c r="H24" s="15">
        <f t="shared" si="1"/>
        <v>20.631</v>
      </c>
      <c r="I24" s="16">
        <f t="shared" si="2"/>
        <v>1.3391746031746032</v>
      </c>
      <c r="J24" s="17"/>
    </row>
    <row r="25" spans="1:10" x14ac:dyDescent="0.3">
      <c r="A25" s="18" t="s">
        <v>32</v>
      </c>
      <c r="B25" s="19">
        <v>254.67</v>
      </c>
      <c r="C25" s="20">
        <v>6809</v>
      </c>
      <c r="D25" s="21">
        <v>19570</v>
      </c>
      <c r="E25" s="21">
        <v>17594</v>
      </c>
      <c r="F25" s="21">
        <v>12367</v>
      </c>
      <c r="G25" s="22">
        <f t="shared" si="0"/>
        <v>19.57</v>
      </c>
      <c r="H25" s="22">
        <f t="shared" si="1"/>
        <v>17.594000000000001</v>
      </c>
      <c r="I25" s="23">
        <f t="shared" si="2"/>
        <v>1.5824371310746341</v>
      </c>
      <c r="J25" s="24"/>
    </row>
    <row r="26" spans="1:10" x14ac:dyDescent="0.3">
      <c r="A26" s="11" t="s">
        <v>33</v>
      </c>
      <c r="B26" s="12">
        <v>299.8</v>
      </c>
      <c r="C26" s="13">
        <v>7001</v>
      </c>
      <c r="D26" s="14">
        <v>19257</v>
      </c>
      <c r="E26" s="14">
        <v>17178</v>
      </c>
      <c r="F26" s="14">
        <v>8178</v>
      </c>
      <c r="G26" s="15">
        <f t="shared" si="0"/>
        <v>19.257000000000001</v>
      </c>
      <c r="H26" s="15">
        <f t="shared" si="1"/>
        <v>17.178000000000001</v>
      </c>
      <c r="I26" s="16">
        <f t="shared" si="2"/>
        <v>2.3547322083639033</v>
      </c>
      <c r="J26" s="17"/>
    </row>
    <row r="27" spans="1:10" x14ac:dyDescent="0.3">
      <c r="A27" s="18" t="s">
        <v>34</v>
      </c>
      <c r="B27" s="19">
        <v>169.72</v>
      </c>
      <c r="C27" s="20">
        <v>5278</v>
      </c>
      <c r="D27" s="21">
        <v>18861</v>
      </c>
      <c r="E27" s="21">
        <v>17594</v>
      </c>
      <c r="F27" s="21">
        <v>13180</v>
      </c>
      <c r="G27" s="22">
        <f t="shared" si="0"/>
        <v>18.861000000000001</v>
      </c>
      <c r="H27" s="22">
        <f t="shared" si="1"/>
        <v>17.594000000000001</v>
      </c>
      <c r="I27" s="23">
        <f t="shared" si="2"/>
        <v>1.43103186646434</v>
      </c>
      <c r="J27" s="24"/>
    </row>
    <row r="28" spans="1:10" x14ac:dyDescent="0.3">
      <c r="A28" s="11" t="s">
        <v>35</v>
      </c>
      <c r="B28" s="12">
        <v>43.67</v>
      </c>
      <c r="C28" s="13">
        <v>3710</v>
      </c>
      <c r="D28" s="14">
        <v>18671</v>
      </c>
      <c r="E28" s="14">
        <v>17219</v>
      </c>
      <c r="F28" s="14">
        <v>14089</v>
      </c>
      <c r="G28" s="15">
        <f t="shared" si="0"/>
        <v>18.670999999999999</v>
      </c>
      <c r="H28" s="15">
        <f t="shared" si="1"/>
        <v>17.219000000000001</v>
      </c>
      <c r="I28" s="16">
        <f t="shared" si="2"/>
        <v>1.3252182553765348</v>
      </c>
      <c r="J28" s="17"/>
    </row>
    <row r="29" spans="1:10" x14ac:dyDescent="0.3">
      <c r="A29" s="18" t="s">
        <v>36</v>
      </c>
      <c r="B29" s="19">
        <v>300.64</v>
      </c>
      <c r="C29" s="20">
        <v>7008</v>
      </c>
      <c r="D29" s="21">
        <v>17643</v>
      </c>
      <c r="E29" s="21">
        <v>15587</v>
      </c>
      <c r="F29" s="21">
        <v>10680</v>
      </c>
      <c r="G29" s="22">
        <f t="shared" si="0"/>
        <v>17.643000000000001</v>
      </c>
      <c r="H29" s="22">
        <f t="shared" si="1"/>
        <v>15.587</v>
      </c>
      <c r="I29" s="23">
        <f t="shared" si="2"/>
        <v>1.6519662921348315</v>
      </c>
      <c r="J29" s="24"/>
    </row>
    <row r="30" spans="1:10" x14ac:dyDescent="0.3">
      <c r="A30" s="11" t="s">
        <v>37</v>
      </c>
      <c r="B30" s="12">
        <v>270.48</v>
      </c>
      <c r="C30" s="13">
        <v>6729</v>
      </c>
      <c r="D30" s="14">
        <v>17643</v>
      </c>
      <c r="E30" s="14">
        <v>15587</v>
      </c>
      <c r="F30" s="14">
        <v>11611</v>
      </c>
      <c r="G30" s="15">
        <f t="shared" si="0"/>
        <v>17.643000000000001</v>
      </c>
      <c r="H30" s="15">
        <f t="shared" si="1"/>
        <v>15.587</v>
      </c>
      <c r="I30" s="16">
        <f t="shared" si="2"/>
        <v>1.5195073637068297</v>
      </c>
      <c r="J30" s="17"/>
    </row>
    <row r="31" spans="1:10" x14ac:dyDescent="0.3">
      <c r="A31" s="18" t="s">
        <v>38</v>
      </c>
      <c r="B31" s="19">
        <v>302.68</v>
      </c>
      <c r="C31" s="20">
        <v>6953</v>
      </c>
      <c r="D31" s="21">
        <v>17255</v>
      </c>
      <c r="E31" s="21">
        <v>14983</v>
      </c>
      <c r="F31" s="21">
        <v>6693</v>
      </c>
      <c r="G31" s="22">
        <f t="shared" si="0"/>
        <v>17.254999999999999</v>
      </c>
      <c r="H31" s="22">
        <f t="shared" si="1"/>
        <v>14.983000000000001</v>
      </c>
      <c r="I31" s="23">
        <f t="shared" si="2"/>
        <v>2.5780666367847003</v>
      </c>
      <c r="J31" s="24"/>
    </row>
    <row r="32" spans="1:10" x14ac:dyDescent="0.3">
      <c r="A32" s="11" t="s">
        <v>39</v>
      </c>
      <c r="B32" s="12">
        <v>58.7</v>
      </c>
      <c r="C32" s="13">
        <v>4507</v>
      </c>
      <c r="D32" s="14">
        <v>16968</v>
      </c>
      <c r="E32" s="14">
        <v>15008</v>
      </c>
      <c r="F32" s="14">
        <v>11674</v>
      </c>
      <c r="G32" s="15">
        <f t="shared" si="0"/>
        <v>16.968</v>
      </c>
      <c r="H32" s="15">
        <f t="shared" si="1"/>
        <v>15.007999999999999</v>
      </c>
      <c r="I32" s="16">
        <f t="shared" si="2"/>
        <v>1.4534863799897209</v>
      </c>
      <c r="J32" s="17"/>
    </row>
    <row r="33" spans="1:10" x14ac:dyDescent="0.3">
      <c r="A33" s="18" t="s">
        <v>40</v>
      </c>
      <c r="B33" s="19">
        <v>131.93</v>
      </c>
      <c r="C33" s="20">
        <v>5328</v>
      </c>
      <c r="D33" s="21">
        <v>16610</v>
      </c>
      <c r="E33" s="21">
        <v>14351</v>
      </c>
      <c r="F33" s="21">
        <v>11332</v>
      </c>
      <c r="G33" s="22">
        <f t="shared" si="0"/>
        <v>16.61</v>
      </c>
      <c r="H33" s="22">
        <f t="shared" si="1"/>
        <v>14.351000000000001</v>
      </c>
      <c r="I33" s="23">
        <f t="shared" si="2"/>
        <v>1.4657606777267913</v>
      </c>
      <c r="J33" s="24"/>
    </row>
    <row r="34" spans="1:10" x14ac:dyDescent="0.3">
      <c r="A34" s="11" t="s">
        <v>41</v>
      </c>
      <c r="B34" s="12">
        <v>300.31</v>
      </c>
      <c r="C34" s="13">
        <v>7000</v>
      </c>
      <c r="D34" s="14">
        <v>15638</v>
      </c>
      <c r="E34" s="14">
        <v>13577</v>
      </c>
      <c r="F34" s="14">
        <v>9125</v>
      </c>
      <c r="G34" s="15">
        <f t="shared" si="0"/>
        <v>15.638</v>
      </c>
      <c r="H34" s="15">
        <f t="shared" si="1"/>
        <v>13.577</v>
      </c>
      <c r="I34" s="16">
        <f t="shared" si="2"/>
        <v>1.7137534246575343</v>
      </c>
      <c r="J34" s="17"/>
    </row>
    <row r="35" spans="1:10" x14ac:dyDescent="0.3">
      <c r="A35" s="18" t="s">
        <v>42</v>
      </c>
      <c r="B35" s="19">
        <v>196.28</v>
      </c>
      <c r="C35" s="20">
        <v>6359</v>
      </c>
      <c r="D35" s="21">
        <v>15638</v>
      </c>
      <c r="E35" s="21">
        <v>13577</v>
      </c>
      <c r="F35" s="21">
        <v>10196</v>
      </c>
      <c r="G35" s="22">
        <f t="shared" si="0"/>
        <v>15.638</v>
      </c>
      <c r="H35" s="22">
        <f t="shared" si="1"/>
        <v>13.577</v>
      </c>
      <c r="I35" s="23">
        <f t="shared" si="2"/>
        <v>1.5337387210670852</v>
      </c>
      <c r="J35" s="24"/>
    </row>
    <row r="36" spans="1:10" x14ac:dyDescent="0.3">
      <c r="A36" s="11" t="s">
        <v>43</v>
      </c>
      <c r="B36" s="12">
        <v>60.51</v>
      </c>
      <c r="C36" s="13">
        <v>3703</v>
      </c>
      <c r="D36" s="14">
        <v>15600</v>
      </c>
      <c r="E36" s="14">
        <v>13480</v>
      </c>
      <c r="F36" s="14">
        <v>6700</v>
      </c>
      <c r="G36" s="15">
        <f t="shared" si="0"/>
        <v>15.6</v>
      </c>
      <c r="H36" s="15">
        <f t="shared" si="1"/>
        <v>13.48</v>
      </c>
      <c r="I36" s="16">
        <f t="shared" si="2"/>
        <v>2.3283582089552239</v>
      </c>
      <c r="J36" s="17"/>
    </row>
    <row r="37" spans="1:10" x14ac:dyDescent="0.3">
      <c r="A37" s="18" t="s">
        <v>44</v>
      </c>
      <c r="B37" s="19">
        <v>58.94</v>
      </c>
      <c r="C37" s="20">
        <v>3772</v>
      </c>
      <c r="D37" s="21">
        <v>15058</v>
      </c>
      <c r="E37" s="21">
        <v>13501</v>
      </c>
      <c r="F37" s="21">
        <v>10512</v>
      </c>
      <c r="G37" s="22">
        <f t="shared" si="0"/>
        <v>15.058</v>
      </c>
      <c r="H37" s="22">
        <f t="shared" si="1"/>
        <v>13.500999999999999</v>
      </c>
      <c r="I37" s="23">
        <f t="shared" si="2"/>
        <v>1.4324581430745815</v>
      </c>
      <c r="J37" s="24"/>
    </row>
    <row r="38" spans="1:10" x14ac:dyDescent="0.3">
      <c r="A38" s="11" t="s">
        <v>45</v>
      </c>
      <c r="B38" s="12">
        <v>60.19</v>
      </c>
      <c r="C38" s="13">
        <v>3809</v>
      </c>
      <c r="D38" s="14">
        <v>15058</v>
      </c>
      <c r="E38" s="14">
        <v>13501</v>
      </c>
      <c r="F38" s="14">
        <v>10313</v>
      </c>
      <c r="G38" s="15">
        <f t="shared" si="0"/>
        <v>15.058</v>
      </c>
      <c r="H38" s="15">
        <f t="shared" si="1"/>
        <v>13.500999999999999</v>
      </c>
      <c r="I38" s="16">
        <f t="shared" si="2"/>
        <v>1.4600989042955492</v>
      </c>
      <c r="J38" s="17"/>
    </row>
    <row r="39" spans="1:10" x14ac:dyDescent="0.3">
      <c r="A39" s="18" t="s">
        <v>46</v>
      </c>
      <c r="B39" s="19">
        <v>65</v>
      </c>
      <c r="C39" s="20">
        <v>3845</v>
      </c>
      <c r="D39" s="21">
        <v>15040</v>
      </c>
      <c r="E39" s="21">
        <v>13509</v>
      </c>
      <c r="F39" s="21">
        <v>6902</v>
      </c>
      <c r="G39" s="22">
        <f t="shared" si="0"/>
        <v>15.04</v>
      </c>
      <c r="H39" s="22">
        <f t="shared" si="1"/>
        <v>13.509</v>
      </c>
      <c r="I39" s="23">
        <f t="shared" si="2"/>
        <v>2.1790785279629095</v>
      </c>
      <c r="J39" s="24"/>
    </row>
    <row r="40" spans="1:10" x14ac:dyDescent="0.3">
      <c r="A40" s="11" t="s">
        <v>47</v>
      </c>
      <c r="B40" s="12">
        <v>124</v>
      </c>
      <c r="C40" s="13">
        <v>4814</v>
      </c>
      <c r="D40" s="14">
        <v>14377</v>
      </c>
      <c r="E40" s="14">
        <v>12747</v>
      </c>
      <c r="F40" s="14">
        <v>9977</v>
      </c>
      <c r="G40" s="15">
        <f t="shared" si="0"/>
        <v>14.377000000000001</v>
      </c>
      <c r="H40" s="15">
        <f t="shared" si="1"/>
        <v>12.747</v>
      </c>
      <c r="I40" s="16">
        <f t="shared" si="2"/>
        <v>1.4410143329658214</v>
      </c>
      <c r="J40" s="17"/>
    </row>
    <row r="41" spans="1:10" x14ac:dyDescent="0.3">
      <c r="A41" s="18" t="s">
        <v>48</v>
      </c>
      <c r="B41" s="19">
        <v>177.61</v>
      </c>
      <c r="C41" s="20">
        <v>5367</v>
      </c>
      <c r="D41" s="21">
        <v>13635</v>
      </c>
      <c r="E41" s="21">
        <v>12419</v>
      </c>
      <c r="F41" s="21">
        <v>8285</v>
      </c>
      <c r="G41" s="22">
        <f t="shared" si="0"/>
        <v>13.635</v>
      </c>
      <c r="H41" s="22">
        <f t="shared" si="1"/>
        <v>12.419</v>
      </c>
      <c r="I41" s="23">
        <f t="shared" si="2"/>
        <v>1.6457453228726615</v>
      </c>
      <c r="J41" s="24"/>
    </row>
    <row r="42" spans="1:10" x14ac:dyDescent="0.3">
      <c r="A42" s="11" t="s">
        <v>49</v>
      </c>
      <c r="B42" s="12">
        <v>80.13</v>
      </c>
      <c r="C42" s="13">
        <v>4466</v>
      </c>
      <c r="D42" s="14">
        <v>13533</v>
      </c>
      <c r="E42" s="14">
        <v>11084</v>
      </c>
      <c r="F42" s="14">
        <v>7792</v>
      </c>
      <c r="G42" s="15">
        <f t="shared" si="0"/>
        <v>13.532999999999999</v>
      </c>
      <c r="H42" s="15">
        <f t="shared" si="1"/>
        <v>11.084</v>
      </c>
      <c r="I42" s="16">
        <f t="shared" si="2"/>
        <v>1.7367813141683779</v>
      </c>
      <c r="J42" s="17"/>
    </row>
    <row r="43" spans="1:10" x14ac:dyDescent="0.3">
      <c r="A43" s="18" t="s">
        <v>50</v>
      </c>
      <c r="B43" s="19">
        <v>60.87</v>
      </c>
      <c r="C43" s="20">
        <v>3801</v>
      </c>
      <c r="D43" s="21">
        <v>13533</v>
      </c>
      <c r="E43" s="21">
        <v>11987</v>
      </c>
      <c r="F43" s="21">
        <v>8017</v>
      </c>
      <c r="G43" s="22">
        <f t="shared" si="0"/>
        <v>13.532999999999999</v>
      </c>
      <c r="H43" s="22">
        <f t="shared" si="1"/>
        <v>11.987</v>
      </c>
      <c r="I43" s="23">
        <f t="shared" si="2"/>
        <v>1.6880379194212298</v>
      </c>
      <c r="J43" s="24"/>
    </row>
    <row r="44" spans="1:10" x14ac:dyDescent="0.3">
      <c r="A44" s="11" t="s">
        <v>51</v>
      </c>
      <c r="B44" s="12">
        <v>59.79</v>
      </c>
      <c r="C44" s="13">
        <v>3770</v>
      </c>
      <c r="D44" s="14">
        <v>13519</v>
      </c>
      <c r="E44" s="14">
        <v>11590</v>
      </c>
      <c r="F44" s="14">
        <v>9014</v>
      </c>
      <c r="G44" s="15">
        <f t="shared" si="0"/>
        <v>13.519</v>
      </c>
      <c r="H44" s="15">
        <f t="shared" si="1"/>
        <v>11.59</v>
      </c>
      <c r="I44" s="16">
        <f t="shared" si="2"/>
        <v>1.4997781229199023</v>
      </c>
      <c r="J44" s="17"/>
    </row>
    <row r="45" spans="1:10" x14ac:dyDescent="0.3">
      <c r="A45" s="18" t="s">
        <v>52</v>
      </c>
      <c r="B45" s="19">
        <v>59.61</v>
      </c>
      <c r="C45" s="20">
        <v>3784</v>
      </c>
      <c r="D45" s="21">
        <v>13519</v>
      </c>
      <c r="E45" s="21">
        <v>11987</v>
      </c>
      <c r="F45" s="21">
        <v>9228</v>
      </c>
      <c r="G45" s="22">
        <f t="shared" si="0"/>
        <v>13.519</v>
      </c>
      <c r="H45" s="22">
        <f t="shared" si="1"/>
        <v>11.987</v>
      </c>
      <c r="I45" s="23">
        <f t="shared" si="2"/>
        <v>1.4649978326831383</v>
      </c>
      <c r="J45" s="24"/>
    </row>
    <row r="46" spans="1:10" x14ac:dyDescent="0.3">
      <c r="A46" s="11" t="s">
        <v>53</v>
      </c>
      <c r="B46" s="12">
        <v>113.78</v>
      </c>
      <c r="C46" s="13">
        <v>4554</v>
      </c>
      <c r="D46" s="14">
        <v>11642</v>
      </c>
      <c r="E46" s="14">
        <v>11084</v>
      </c>
      <c r="F46" s="14">
        <v>8753</v>
      </c>
      <c r="G46" s="15">
        <f t="shared" si="0"/>
        <v>11.641999999999999</v>
      </c>
      <c r="H46" s="15">
        <f t="shared" si="1"/>
        <v>11.084</v>
      </c>
      <c r="I46" s="16">
        <f t="shared" si="2"/>
        <v>1.3300582657374613</v>
      </c>
      <c r="J46" s="17"/>
    </row>
    <row r="47" spans="1:10" x14ac:dyDescent="0.3">
      <c r="A47" s="18" t="s">
        <v>54</v>
      </c>
      <c r="B47" s="19">
        <v>18.11</v>
      </c>
      <c r="C47" s="20">
        <v>1911</v>
      </c>
      <c r="D47" s="21">
        <v>11529</v>
      </c>
      <c r="E47" s="21">
        <v>10849</v>
      </c>
      <c r="F47" s="21">
        <v>8310</v>
      </c>
      <c r="G47" s="22">
        <f t="shared" si="0"/>
        <v>11.529</v>
      </c>
      <c r="H47" s="22">
        <f t="shared" si="1"/>
        <v>10.849</v>
      </c>
      <c r="I47" s="23">
        <f t="shared" si="2"/>
        <v>1.3873646209386281</v>
      </c>
      <c r="J47" s="24"/>
    </row>
    <row r="48" spans="1:10" x14ac:dyDescent="0.3">
      <c r="A48" s="11" t="s">
        <v>55</v>
      </c>
      <c r="B48" s="12">
        <v>70.98</v>
      </c>
      <c r="C48" s="13">
        <v>3651</v>
      </c>
      <c r="D48" s="14">
        <v>11426</v>
      </c>
      <c r="E48" s="14">
        <v>9691</v>
      </c>
      <c r="F48" s="14">
        <v>7484</v>
      </c>
      <c r="G48" s="15">
        <f t="shared" si="0"/>
        <v>11.426</v>
      </c>
      <c r="H48" s="15">
        <f t="shared" si="1"/>
        <v>9.6910000000000007</v>
      </c>
      <c r="I48" s="16">
        <f t="shared" si="2"/>
        <v>1.5267236771779797</v>
      </c>
      <c r="J48" s="17"/>
    </row>
    <row r="49" spans="1:10" x14ac:dyDescent="0.3">
      <c r="A49" s="18" t="s">
        <v>56</v>
      </c>
      <c r="B49" s="19">
        <v>19.78</v>
      </c>
      <c r="C49" s="20">
        <v>2018</v>
      </c>
      <c r="D49" s="21">
        <v>10419</v>
      </c>
      <c r="E49" s="21">
        <v>9645</v>
      </c>
      <c r="F49" s="21">
        <v>8848</v>
      </c>
      <c r="G49" s="22">
        <f t="shared" si="0"/>
        <v>10.419</v>
      </c>
      <c r="H49" s="22">
        <f t="shared" si="1"/>
        <v>9.6449999999999996</v>
      </c>
      <c r="I49" s="23">
        <f t="shared" si="2"/>
        <v>1.1775542495479205</v>
      </c>
      <c r="J49" s="24"/>
    </row>
    <row r="50" spans="1:10" x14ac:dyDescent="0.3">
      <c r="A50" s="11" t="s">
        <v>57</v>
      </c>
      <c r="B50" s="12">
        <v>88.51</v>
      </c>
      <c r="C50" s="13">
        <v>3848</v>
      </c>
      <c r="D50" s="14">
        <v>9767</v>
      </c>
      <c r="E50" s="14">
        <v>8662</v>
      </c>
      <c r="F50" s="14">
        <v>6820</v>
      </c>
      <c r="G50" s="15">
        <f t="shared" si="0"/>
        <v>9.7669999999999995</v>
      </c>
      <c r="H50" s="15">
        <f t="shared" si="1"/>
        <v>8.6620000000000008</v>
      </c>
      <c r="I50" s="16">
        <f t="shared" si="2"/>
        <v>1.4321114369501466</v>
      </c>
      <c r="J50" s="17"/>
    </row>
    <row r="51" spans="1:10" x14ac:dyDescent="0.3">
      <c r="A51" s="18" t="s">
        <v>58</v>
      </c>
      <c r="B51" s="19">
        <v>75.31</v>
      </c>
      <c r="C51" s="20">
        <v>3891</v>
      </c>
      <c r="D51" s="21">
        <v>9113</v>
      </c>
      <c r="E51" s="21">
        <v>7408</v>
      </c>
      <c r="F51" s="21">
        <v>6142</v>
      </c>
      <c r="G51" s="22">
        <f t="shared" si="0"/>
        <v>9.1129999999999995</v>
      </c>
      <c r="H51" s="22">
        <f t="shared" si="1"/>
        <v>7.4080000000000004</v>
      </c>
      <c r="I51" s="23">
        <f t="shared" si="2"/>
        <v>1.4837186584174535</v>
      </c>
      <c r="J51" s="24"/>
    </row>
    <row r="52" spans="1:10" x14ac:dyDescent="0.3">
      <c r="A52" s="4" t="s">
        <v>59</v>
      </c>
      <c r="B52" s="5">
        <v>149.61000000000001</v>
      </c>
      <c r="C52" s="6">
        <v>5003</v>
      </c>
      <c r="D52" s="25" t="s">
        <v>60</v>
      </c>
      <c r="E52" s="25" t="s">
        <v>60</v>
      </c>
      <c r="F52" s="7">
        <v>15887</v>
      </c>
      <c r="G52" s="26" t="s">
        <v>61</v>
      </c>
      <c r="H52" s="26" t="s">
        <v>61</v>
      </c>
      <c r="I52" s="27" t="s">
        <v>61</v>
      </c>
      <c r="J52" s="28" t="s">
        <v>62</v>
      </c>
    </row>
    <row r="53" spans="1:10" x14ac:dyDescent="0.3">
      <c r="A53" s="4" t="s">
        <v>63</v>
      </c>
      <c r="B53" s="5">
        <v>131.51</v>
      </c>
      <c r="C53" s="6">
        <v>4710</v>
      </c>
      <c r="D53" s="25" t="s">
        <v>60</v>
      </c>
      <c r="E53" s="25" t="s">
        <v>60</v>
      </c>
      <c r="F53" s="7">
        <v>14642</v>
      </c>
      <c r="G53" s="26" t="s">
        <v>61</v>
      </c>
      <c r="H53" s="26" t="s">
        <v>61</v>
      </c>
      <c r="I53" s="27" t="s">
        <v>61</v>
      </c>
      <c r="J53" s="28" t="s">
        <v>62</v>
      </c>
    </row>
    <row r="54" spans="1:10" x14ac:dyDescent="0.3">
      <c r="A54" s="4" t="s">
        <v>64</v>
      </c>
      <c r="B54" s="5">
        <v>67.459999999999994</v>
      </c>
      <c r="C54" s="6">
        <v>3607</v>
      </c>
      <c r="D54" s="25" t="s">
        <v>60</v>
      </c>
      <c r="E54" s="25" t="s">
        <v>60</v>
      </c>
      <c r="F54" s="7">
        <v>16250</v>
      </c>
      <c r="G54" s="26" t="s">
        <v>61</v>
      </c>
      <c r="H54" s="26" t="s">
        <v>61</v>
      </c>
      <c r="I54" s="27" t="s">
        <v>61</v>
      </c>
      <c r="J54" s="28" t="s">
        <v>62</v>
      </c>
    </row>
    <row r="55" spans="1:10" x14ac:dyDescent="0.3">
      <c r="A55" s="4" t="s">
        <v>65</v>
      </c>
      <c r="B55" s="5">
        <v>140.69</v>
      </c>
      <c r="C55" s="6">
        <v>4981</v>
      </c>
      <c r="D55" s="25" t="s">
        <v>60</v>
      </c>
      <c r="E55" s="25" t="s">
        <v>60</v>
      </c>
      <c r="F55" s="7">
        <v>14856</v>
      </c>
      <c r="G55" s="26" t="s">
        <v>61</v>
      </c>
      <c r="H55" s="26" t="s">
        <v>61</v>
      </c>
      <c r="I55" s="27" t="s">
        <v>61</v>
      </c>
      <c r="J55" s="28" t="s">
        <v>62</v>
      </c>
    </row>
    <row r="57" spans="1:10" x14ac:dyDescent="0.3">
      <c r="A57" s="29" t="s">
        <v>66</v>
      </c>
      <c r="B57" s="30">
        <f>SUM(B5:B55)</f>
        <v>6880.8099999999986</v>
      </c>
      <c r="D57" s="31">
        <f>MAX(D5:D55)</f>
        <v>39828</v>
      </c>
      <c r="G57" s="32">
        <f>IFERROR(MAX(G5:G55),"")</f>
        <v>39.828000000000003</v>
      </c>
      <c r="I57" s="33">
        <f>IFERROR(AVERAGE(I5:I55),"")</f>
        <v>1.762438528300619</v>
      </c>
    </row>
    <row r="58" spans="1:10" x14ac:dyDescent="0.3">
      <c r="A58" s="34" t="s">
        <v>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68</v>
      </c>
    </row>
    <row r="3" spans="1:2" ht="30" customHeight="1" x14ac:dyDescent="0.3">
      <c r="A3" s="36" t="s">
        <v>69</v>
      </c>
      <c r="B3" s="37" t="s">
        <v>70</v>
      </c>
    </row>
    <row r="4" spans="1:2" ht="30" customHeight="1" x14ac:dyDescent="0.3">
      <c r="A4" s="36" t="s">
        <v>71</v>
      </c>
      <c r="B4" s="37" t="s">
        <v>72</v>
      </c>
    </row>
    <row r="5" spans="1:2" ht="30" customHeight="1" x14ac:dyDescent="0.3">
      <c r="A5" s="36" t="s">
        <v>73</v>
      </c>
      <c r="B5" s="37" t="s">
        <v>74</v>
      </c>
    </row>
    <row r="6" spans="1:2" ht="30" customHeight="1" x14ac:dyDescent="0.3">
      <c r="A6" s="36" t="s">
        <v>75</v>
      </c>
      <c r="B6" s="37" t="s">
        <v>76</v>
      </c>
    </row>
    <row r="7" spans="1:2" ht="30" customHeight="1" x14ac:dyDescent="0.3">
      <c r="A7" s="36" t="s">
        <v>77</v>
      </c>
      <c r="B7" s="37" t="s">
        <v>78</v>
      </c>
    </row>
    <row r="8" spans="1:2" ht="30" customHeight="1" x14ac:dyDescent="0.3">
      <c r="A8" s="36" t="s">
        <v>79</v>
      </c>
      <c r="B8" s="37" t="s">
        <v>80</v>
      </c>
    </row>
    <row r="9" spans="1:2" ht="30" customHeight="1" x14ac:dyDescent="0.3">
      <c r="A9" s="36" t="s">
        <v>81</v>
      </c>
      <c r="B9" s="37" t="s">
        <v>82</v>
      </c>
    </row>
    <row r="10" spans="1:2" ht="30" customHeight="1" x14ac:dyDescent="0.3">
      <c r="A10" s="36" t="s">
        <v>83</v>
      </c>
      <c r="B10" s="37" t="s">
        <v>84</v>
      </c>
    </row>
    <row r="11" spans="1:2" ht="30" customHeight="1" x14ac:dyDescent="0.3">
      <c r="A11" s="36" t="s">
        <v>85</v>
      </c>
      <c r="B11" s="37" t="s">
        <v>86</v>
      </c>
    </row>
    <row r="12" spans="1:2" ht="30" customHeight="1" x14ac:dyDescent="0.3">
      <c r="A12" s="36" t="s">
        <v>87</v>
      </c>
      <c r="B12" s="37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2026-09-15T20:32:45Z</dcterms:created>
  <dcterms:modified xsi:type="dcterms:W3CDTF">2026-09-15T20:33:54Z</dcterms:modified>
</cp:coreProperties>
</file>