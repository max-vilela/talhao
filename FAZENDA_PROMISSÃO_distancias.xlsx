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PROMISSÃO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T-01</t>
        </is>
      </c>
      <c r="B5" s="5" t="n">
        <v>217.12</v>
      </c>
      <c r="C5" s="6" t="n">
        <v>6055</v>
      </c>
      <c r="D5" s="7" t="n">
        <v>11561</v>
      </c>
      <c r="E5" s="7" t="n">
        <v>9132</v>
      </c>
      <c r="F5" s="7" t="n">
        <v>7665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T-08</t>
        </is>
      </c>
      <c r="B6" s="12" t="n">
        <v>128.52</v>
      </c>
      <c r="C6" s="13" t="n">
        <v>5847</v>
      </c>
      <c r="D6" s="14" t="n">
        <v>10717</v>
      </c>
      <c r="E6" s="14" t="n">
        <v>7731</v>
      </c>
      <c r="F6" s="14" t="n">
        <v>6977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T-02</t>
        </is>
      </c>
      <c r="B7" s="5" t="n">
        <v>216.07</v>
      </c>
      <c r="C7" s="6" t="n">
        <v>5881</v>
      </c>
      <c r="D7" s="7" t="n">
        <v>9925</v>
      </c>
      <c r="E7" s="7" t="n">
        <v>7670</v>
      </c>
      <c r="F7" s="7" t="n">
        <v>6496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T-32A</t>
        </is>
      </c>
      <c r="B8" s="12" t="n">
        <v>83.98999999999999</v>
      </c>
      <c r="C8" s="13" t="n">
        <v>4543</v>
      </c>
      <c r="D8" s="14" t="n">
        <v>9638</v>
      </c>
      <c r="E8" s="14" t="n">
        <v>7891</v>
      </c>
      <c r="F8" s="14" t="n">
        <v>6182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T-07</t>
        </is>
      </c>
      <c r="B9" s="5" t="n">
        <v>214</v>
      </c>
      <c r="C9" s="6" t="n">
        <v>5853</v>
      </c>
      <c r="D9" s="7" t="n">
        <v>9621</v>
      </c>
      <c r="E9" s="7" t="n">
        <v>6288</v>
      </c>
      <c r="F9" s="7" t="n">
        <v>5666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T-27</t>
        </is>
      </c>
      <c r="B10" s="12" t="n">
        <v>248.35</v>
      </c>
      <c r="C10" s="13" t="n">
        <v>7351</v>
      </c>
      <c r="D10" s="14" t="n">
        <v>9512</v>
      </c>
      <c r="E10" s="14" t="n">
        <v>5380</v>
      </c>
      <c r="F10" s="14" t="n">
        <v>4648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T-28</t>
        </is>
      </c>
      <c r="B11" s="5" t="n">
        <v>181.92</v>
      </c>
      <c r="C11" s="6" t="n">
        <v>6154</v>
      </c>
      <c r="D11" s="7" t="n">
        <v>9320</v>
      </c>
      <c r="E11" s="7" t="n">
        <v>6422</v>
      </c>
      <c r="F11" s="7" t="n">
        <v>5748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T-32</t>
        </is>
      </c>
      <c r="B12" s="12" t="n">
        <v>138.68</v>
      </c>
      <c r="C12" s="13" t="n">
        <v>5245</v>
      </c>
      <c r="D12" s="14" t="n">
        <v>9199</v>
      </c>
      <c r="E12" s="14" t="n">
        <v>6391</v>
      </c>
      <c r="F12" s="14" t="n">
        <v>4871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T-31A</t>
        </is>
      </c>
      <c r="B13" s="5" t="n">
        <v>132.85</v>
      </c>
      <c r="C13" s="6" t="n">
        <v>5047</v>
      </c>
      <c r="D13" s="7" t="n">
        <v>9081</v>
      </c>
      <c r="E13" s="7" t="n">
        <v>6245</v>
      </c>
      <c r="F13" s="7" t="n">
        <v>4795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T-03</t>
        </is>
      </c>
      <c r="B14" s="12" t="n">
        <v>215.16</v>
      </c>
      <c r="C14" s="13" t="n">
        <v>5870</v>
      </c>
      <c r="D14" s="14" t="n">
        <v>8843</v>
      </c>
      <c r="E14" s="14" t="n">
        <v>6341</v>
      </c>
      <c r="F14" s="14" t="n">
        <v>5463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T-09</t>
        </is>
      </c>
      <c r="B15" s="5" t="n">
        <v>136.16</v>
      </c>
      <c r="C15" s="6" t="n">
        <v>5252</v>
      </c>
      <c r="D15" s="7" t="n">
        <v>8481</v>
      </c>
      <c r="E15" s="7" t="n">
        <v>5809</v>
      </c>
      <c r="F15" s="7" t="n">
        <v>5369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T-30A</t>
        </is>
      </c>
      <c r="B16" s="12" t="n">
        <v>101.07</v>
      </c>
      <c r="C16" s="13" t="n">
        <v>4286</v>
      </c>
      <c r="D16" s="14" t="n">
        <v>8408</v>
      </c>
      <c r="E16" s="14" t="n">
        <v>5517</v>
      </c>
      <c r="F16" s="14" t="n">
        <v>4476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T-10</t>
        </is>
      </c>
      <c r="B17" s="5" t="n">
        <v>225.86</v>
      </c>
      <c r="C17" s="6" t="n">
        <v>6836</v>
      </c>
      <c r="D17" s="7" t="n">
        <v>8219</v>
      </c>
      <c r="E17" s="7" t="n">
        <v>4353</v>
      </c>
      <c r="F17" s="7" t="n">
        <v>3960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T-31B</t>
        </is>
      </c>
      <c r="B18" s="12" t="n">
        <v>89.83</v>
      </c>
      <c r="C18" s="13" t="n">
        <v>4143</v>
      </c>
      <c r="D18" s="14" t="n">
        <v>8040</v>
      </c>
      <c r="E18" s="14" t="n">
        <v>5354</v>
      </c>
      <c r="F18" s="14" t="n">
        <v>3986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T-04</t>
        </is>
      </c>
      <c r="B19" s="5" t="n">
        <v>222.45</v>
      </c>
      <c r="C19" s="6" t="n">
        <v>5898</v>
      </c>
      <c r="D19" s="7" t="n">
        <v>8005</v>
      </c>
      <c r="E19" s="7" t="n">
        <v>5216</v>
      </c>
      <c r="F19" s="7" t="n">
        <v>4632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T-13</t>
        </is>
      </c>
      <c r="B20" s="12" t="n">
        <v>198.71</v>
      </c>
      <c r="C20" s="13" t="n">
        <v>5502</v>
      </c>
      <c r="D20" s="14" t="n">
        <v>7994</v>
      </c>
      <c r="E20" s="14" t="n">
        <v>5354</v>
      </c>
      <c r="F20" s="14" t="n">
        <v>4181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T-06</t>
        </is>
      </c>
      <c r="B21" s="5" t="n">
        <v>211.14</v>
      </c>
      <c r="C21" s="6" t="n">
        <v>5814</v>
      </c>
      <c r="D21" s="7" t="n">
        <v>7903</v>
      </c>
      <c r="E21" s="7" t="n">
        <v>4871</v>
      </c>
      <c r="F21" s="7" t="n">
        <v>4461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T-24</t>
        </is>
      </c>
      <c r="B22" s="12" t="n">
        <v>313.18</v>
      </c>
      <c r="C22" s="13" t="n">
        <v>7098</v>
      </c>
      <c r="D22" s="14" t="n">
        <v>7321</v>
      </c>
      <c r="E22" s="14" t="n">
        <v>3867</v>
      </c>
      <c r="F22" s="14" t="n">
        <v>2810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T-29A</t>
        </is>
      </c>
      <c r="B23" s="5" t="n">
        <v>158.57</v>
      </c>
      <c r="C23" s="6" t="n">
        <v>5634</v>
      </c>
      <c r="D23" s="7" t="n">
        <v>7216</v>
      </c>
      <c r="E23" s="7" t="n">
        <v>4377</v>
      </c>
      <c r="F23" s="7" t="n">
        <v>3705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T-12</t>
        </is>
      </c>
      <c r="B24" s="12" t="n">
        <v>196.2</v>
      </c>
      <c r="C24" s="13" t="n">
        <v>5516</v>
      </c>
      <c r="D24" s="14" t="n">
        <v>7209</v>
      </c>
      <c r="E24" s="14" t="n">
        <v>4297</v>
      </c>
      <c r="F24" s="14" t="n">
        <v>3785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T-25</t>
        </is>
      </c>
      <c r="B25" s="5" t="n">
        <v>128.42</v>
      </c>
      <c r="C25" s="6" t="n">
        <v>6551</v>
      </c>
      <c r="D25" s="7" t="n">
        <v>7110</v>
      </c>
      <c r="E25" s="7" t="n">
        <v>3069</v>
      </c>
      <c r="F25" s="7" t="n">
        <v>2542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T-14</t>
        </is>
      </c>
      <c r="B26" s="12" t="n">
        <v>180.97</v>
      </c>
      <c r="C26" s="13" t="n">
        <v>5840</v>
      </c>
      <c r="D26" s="14" t="n">
        <v>6962</v>
      </c>
      <c r="E26" s="14" t="n">
        <v>4314</v>
      </c>
      <c r="F26" s="14" t="n">
        <v>3349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T-30B</t>
        </is>
      </c>
      <c r="B27" s="5" t="n">
        <v>129.79</v>
      </c>
      <c r="C27" s="6" t="n">
        <v>4831</v>
      </c>
      <c r="D27" s="7" t="n">
        <v>6886</v>
      </c>
      <c r="E27" s="7" t="n">
        <v>4339</v>
      </c>
      <c r="F27" s="7" t="n">
        <v>3323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T-26A</t>
        </is>
      </c>
      <c r="B28" s="12" t="n">
        <v>127.51</v>
      </c>
      <c r="C28" s="13" t="n">
        <v>5515</v>
      </c>
      <c r="D28" s="14" t="n">
        <v>6825</v>
      </c>
      <c r="E28" s="14" t="n">
        <v>4387</v>
      </c>
      <c r="F28" s="14" t="n">
        <v>2671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T-05</t>
        </is>
      </c>
      <c r="B29" s="5" t="n">
        <v>176.55</v>
      </c>
      <c r="C29" s="6" t="n">
        <v>7594</v>
      </c>
      <c r="D29" s="7" t="n">
        <v>6818</v>
      </c>
      <c r="E29" s="7" t="n">
        <v>3711</v>
      </c>
      <c r="F29" s="7" t="n">
        <v>3538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T-11</t>
        </is>
      </c>
      <c r="B30" s="12" t="n">
        <v>303.27</v>
      </c>
      <c r="C30" s="13" t="n">
        <v>7420</v>
      </c>
      <c r="D30" s="14" t="n">
        <v>6409</v>
      </c>
      <c r="E30" s="14" t="n">
        <v>3180</v>
      </c>
      <c r="F30" s="14" t="n">
        <v>2827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T-15</t>
        </is>
      </c>
      <c r="B31" s="5" t="n">
        <v>189.27</v>
      </c>
      <c r="C31" s="6" t="n">
        <v>5556</v>
      </c>
      <c r="D31" s="7" t="n">
        <v>6129</v>
      </c>
      <c r="E31" s="7" t="n">
        <v>3323</v>
      </c>
      <c r="F31" s="7" t="n">
        <v>2759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T-30C</t>
        </is>
      </c>
      <c r="B32" s="12" t="n">
        <v>53.2</v>
      </c>
      <c r="C32" s="13" t="n">
        <v>3095</v>
      </c>
      <c r="D32" s="14" t="n">
        <v>6032</v>
      </c>
      <c r="E32" s="14" t="n">
        <v>4337</v>
      </c>
      <c r="F32" s="14" t="n">
        <v>3321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18" t="inlineStr">
        <is>
          <t>T-23</t>
        </is>
      </c>
      <c r="B33" s="19" t="n">
        <v>249.78</v>
      </c>
      <c r="C33" s="20" t="n">
        <v>6425</v>
      </c>
      <c r="D33" s="21" t="n">
        <v>5914</v>
      </c>
      <c r="E33" s="21" t="n">
        <v>2388</v>
      </c>
      <c r="F33" s="21" t="n">
        <v>1605</v>
      </c>
      <c r="G33" s="22">
        <f>D33/1000</f>
        <v/>
      </c>
      <c r="H33" s="22">
        <f>E33/1000</f>
        <v/>
      </c>
      <c r="I33" s="23">
        <f>IFERROR(D33/F33,"")</f>
        <v/>
      </c>
      <c r="J33" s="24" t="inlineStr"/>
    </row>
    <row r="34">
      <c r="A34" s="11" t="inlineStr">
        <is>
          <t>T-29B</t>
        </is>
      </c>
      <c r="B34" s="12" t="n">
        <v>115.08</v>
      </c>
      <c r="C34" s="13" t="n">
        <v>5656</v>
      </c>
      <c r="D34" s="14" t="n">
        <v>5656</v>
      </c>
      <c r="E34" s="14" t="n">
        <v>2939</v>
      </c>
      <c r="F34" s="14" t="n">
        <v>2262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T-19</t>
        </is>
      </c>
      <c r="B35" s="5" t="n">
        <v>207.35</v>
      </c>
      <c r="C35" s="6" t="n">
        <v>5781</v>
      </c>
      <c r="D35" s="7" t="n">
        <v>5583</v>
      </c>
      <c r="E35" s="7" t="n">
        <v>2673</v>
      </c>
      <c r="F35" s="7" t="n">
        <v>2643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8" t="inlineStr">
        <is>
          <t>T-26</t>
        </is>
      </c>
      <c r="B36" s="19" t="n">
        <v>147.1</v>
      </c>
      <c r="C36" s="20" t="n">
        <v>5457</v>
      </c>
      <c r="D36" s="21" t="n">
        <v>5323</v>
      </c>
      <c r="E36" s="21" t="n">
        <v>2605</v>
      </c>
      <c r="F36" s="21" t="n">
        <v>1631</v>
      </c>
      <c r="G36" s="22">
        <f>D36/1000</f>
        <v/>
      </c>
      <c r="H36" s="22">
        <f>E36/1000</f>
        <v/>
      </c>
      <c r="I36" s="23">
        <f>IFERROR(D36/F36,"")</f>
        <v/>
      </c>
      <c r="J36" s="24" t="inlineStr"/>
    </row>
    <row r="37">
      <c r="A37" s="18" t="inlineStr">
        <is>
          <t>T-18</t>
        </is>
      </c>
      <c r="B37" s="19" t="n">
        <v>265.83</v>
      </c>
      <c r="C37" s="20" t="n">
        <v>6634</v>
      </c>
      <c r="D37" s="21" t="n">
        <v>4980</v>
      </c>
      <c r="E37" s="21" t="n">
        <v>1256</v>
      </c>
      <c r="F37" s="21" t="n">
        <v>1241</v>
      </c>
      <c r="G37" s="22">
        <f>D37/1000</f>
        <v/>
      </c>
      <c r="H37" s="22">
        <f>E37/1000</f>
        <v/>
      </c>
      <c r="I37" s="23">
        <f>IFERROR(D37/F37,"")</f>
        <v/>
      </c>
      <c r="J37" s="24" t="inlineStr"/>
    </row>
    <row r="38">
      <c r="A38" s="11" t="inlineStr">
        <is>
          <t>T-29 C</t>
        </is>
      </c>
      <c r="B38" s="12" t="n">
        <v>23</v>
      </c>
      <c r="C38" s="13" t="n">
        <v>3375</v>
      </c>
      <c r="D38" s="14" t="n">
        <v>4934</v>
      </c>
      <c r="E38" s="14" t="n">
        <v>2927</v>
      </c>
      <c r="F38" s="14" t="n">
        <v>2251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T-16</t>
        </is>
      </c>
      <c r="B39" s="5" t="n">
        <v>113.43</v>
      </c>
      <c r="C39" s="6" t="n">
        <v>4317</v>
      </c>
      <c r="D39" s="7" t="n">
        <v>4781</v>
      </c>
      <c r="E39" s="7" t="n">
        <v>3121</v>
      </c>
      <c r="F39" s="7" t="n">
        <v>2713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8" t="inlineStr">
        <is>
          <t>T-22</t>
        </is>
      </c>
      <c r="B40" s="19" t="n">
        <v>268.29</v>
      </c>
      <c r="C40" s="20" t="n">
        <v>6666</v>
      </c>
      <c r="D40" s="21" t="n">
        <v>4507</v>
      </c>
      <c r="E40" s="21" t="n">
        <v>1012</v>
      </c>
      <c r="F40" s="21" t="n">
        <v>954</v>
      </c>
      <c r="G40" s="22">
        <f>D40/1000</f>
        <v/>
      </c>
      <c r="H40" s="22">
        <f>E40/1000</f>
        <v/>
      </c>
      <c r="I40" s="23">
        <f>IFERROR(D40/F40,"")</f>
        <v/>
      </c>
      <c r="J40" s="24" t="inlineStr"/>
    </row>
    <row r="41">
      <c r="A41" s="18" t="inlineStr">
        <is>
          <t>T-20</t>
        </is>
      </c>
      <c r="B41" s="19" t="n">
        <v>240.55</v>
      </c>
      <c r="C41" s="20" t="n">
        <v>9293</v>
      </c>
      <c r="D41" s="21" t="n">
        <v>4479</v>
      </c>
      <c r="E41" s="21" t="n">
        <v>1256</v>
      </c>
      <c r="F41" s="21" t="n">
        <v>1215</v>
      </c>
      <c r="G41" s="22">
        <f>D41/1000</f>
        <v/>
      </c>
      <c r="H41" s="22">
        <f>E41/1000</f>
        <v/>
      </c>
      <c r="I41" s="23">
        <f>IFERROR(D41/F41,"")</f>
        <v/>
      </c>
      <c r="J41" s="24" t="inlineStr"/>
    </row>
    <row r="42">
      <c r="A42" s="18" t="inlineStr">
        <is>
          <t>T-17</t>
        </is>
      </c>
      <c r="B42" s="19" t="n">
        <v>356.7</v>
      </c>
      <c r="C42" s="20" t="n">
        <v>10087</v>
      </c>
      <c r="D42" s="21" t="n">
        <v>4081</v>
      </c>
      <c r="E42" s="21" t="n">
        <v>44</v>
      </c>
      <c r="F42" s="21" t="n">
        <v>44</v>
      </c>
      <c r="G42" s="22">
        <f>D42/1000</f>
        <v/>
      </c>
      <c r="H42" s="22">
        <f>E42/1000</f>
        <v/>
      </c>
      <c r="I42" s="23">
        <f>IFERROR(D42/F42,"")</f>
        <v/>
      </c>
      <c r="J42" s="24" t="inlineStr"/>
    </row>
    <row r="43">
      <c r="A43" s="18" t="inlineStr">
        <is>
          <t>T-21</t>
        </is>
      </c>
      <c r="B43" s="19" t="n">
        <v>135.82</v>
      </c>
      <c r="C43" s="20" t="n">
        <v>5029</v>
      </c>
      <c r="D43" s="21" t="n">
        <v>2467</v>
      </c>
      <c r="E43" s="21" t="n">
        <v>222</v>
      </c>
      <c r="F43" s="21" t="n">
        <v>218</v>
      </c>
      <c r="G43" s="22">
        <f>D43/1000</f>
        <v/>
      </c>
      <c r="H43" s="22">
        <f>E43/1000</f>
        <v/>
      </c>
      <c r="I43" s="23">
        <f>IFERROR(D43/F43,"")</f>
        <v/>
      </c>
      <c r="J43" s="24" t="inlineStr"/>
    </row>
    <row r="44">
      <c r="A44" s="18" t="inlineStr">
        <is>
          <t>T-29C</t>
        </is>
      </c>
      <c r="B44" s="19" t="n">
        <v>27.2</v>
      </c>
      <c r="C44" s="20" t="n">
        <v>2922</v>
      </c>
      <c r="D44" s="21" t="n">
        <v>1879</v>
      </c>
      <c r="E44" s="21" t="n">
        <v>62</v>
      </c>
      <c r="F44" s="21" t="n">
        <v>61</v>
      </c>
      <c r="G44" s="22">
        <f>D44/1000</f>
        <v/>
      </c>
      <c r="H44" s="22">
        <f>E44/1000</f>
        <v/>
      </c>
      <c r="I44" s="23">
        <f>IFERROR(D44/F44,"")</f>
        <v/>
      </c>
      <c r="J44" s="24" t="inlineStr"/>
    </row>
    <row r="46">
      <c r="A46" s="25" t="inlineStr">
        <is>
          <t>TOTAL / MÁXIMO</t>
        </is>
      </c>
      <c r="B46" s="26">
        <f>SUM(B5:B44)</f>
        <v/>
      </c>
      <c r="D46" s="27">
        <f>MAX(IFERROR(D5:D44*1,0))</f>
        <v/>
      </c>
      <c r="G46" s="28">
        <f>IFERROR(MAX(G5:G44),"")</f>
        <v/>
      </c>
      <c r="I46" s="29">
        <f>IFERROR(AVERAGE(I5:I44),"")</f>
        <v/>
      </c>
    </row>
    <row r="47">
      <c r="A47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(-13.894866, -57.09905).</t>
        </is>
      </c>
    </row>
    <row r="4" ht="30" customHeight="1">
      <c r="A4" s="32" t="inlineStr">
        <is>
          <t>Talhões</t>
        </is>
      </c>
      <c r="B4" s="33" t="inlineStr">
        <is>
          <t>40 polígonos da pasta FAZENDA PROMISSÃO.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2026-09-15T16:35:36Z</dcterms:created>
  <dcterms:modified xmlns:dcterms="http://purl.org/dc/terms/" xmlns:xsi="http://www.w3.org/2001/XMLSchema-instance" xsi:type="dcterms:W3CDTF">2026-09-15T16:35:36Z</dcterms:modified>
</cp:coreProperties>
</file>