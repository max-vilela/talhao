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C00000"/>
      <sz val="9"/>
    </font>
    <font>
      <name val="Arial"/>
      <i val="1"/>
      <color rgb="00000000"/>
      <sz val="9"/>
    </font>
    <font>
      <name val="Arial"/>
      <color rgb="00C00000"/>
      <sz val="10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8" fillId="4" borderId="1" pivotButton="0" quotePrefix="0" xfId="0"/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8" fillId="0" borderId="1" pivotButton="0" quotePrefix="0" xfId="0"/>
    <xf numFmtId="0" fontId="8" fillId="3" borderId="1" pivotButton="0" quotePrefix="0" xfId="0"/>
    <xf numFmtId="3" fontId="9" fillId="3" borderId="1" pivotButton="0" quotePrefix="0" xfId="0"/>
    <xf numFmtId="4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GALHEIRO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G-01</t>
        </is>
      </c>
      <c r="B5" s="5" t="n">
        <v>74.45999999999999</v>
      </c>
      <c r="C5" s="6" t="n">
        <v>4140</v>
      </c>
      <c r="D5" s="7" t="n">
        <v>12762</v>
      </c>
      <c r="E5" s="7" t="n">
        <v>10699</v>
      </c>
      <c r="F5" s="7" t="n">
        <v>5525</v>
      </c>
      <c r="G5" s="8">
        <f>D5/1000</f>
        <v/>
      </c>
      <c r="H5" s="8">
        <f>E5/1000</f>
        <v/>
      </c>
      <c r="I5" s="9">
        <f>IFERROR(D5/F5,"")</f>
        <v/>
      </c>
      <c r="J5" s="10" t="inlineStr">
        <is>
          <t>inclui 164 m de ligação suposta — confirmar</t>
        </is>
      </c>
    </row>
    <row r="6">
      <c r="A6" s="4" t="inlineStr">
        <is>
          <t>G-02</t>
        </is>
      </c>
      <c r="B6" s="5" t="n">
        <v>171.84</v>
      </c>
      <c r="C6" s="6" t="n">
        <v>5330</v>
      </c>
      <c r="D6" s="7" t="n">
        <v>12268</v>
      </c>
      <c r="E6" s="7" t="n">
        <v>9724</v>
      </c>
      <c r="F6" s="7" t="n">
        <v>4557</v>
      </c>
      <c r="G6" s="8">
        <f>D6/1000</f>
        <v/>
      </c>
      <c r="H6" s="8">
        <f>E6/1000</f>
        <v/>
      </c>
      <c r="I6" s="9">
        <f>IFERROR(D6/F6,"")</f>
        <v/>
      </c>
      <c r="J6" s="10" t="inlineStr">
        <is>
          <t>inclui 164 m de ligação suposta — confirmar</t>
        </is>
      </c>
    </row>
    <row r="7">
      <c r="A7" s="4" t="inlineStr">
        <is>
          <t>G-23</t>
        </is>
      </c>
      <c r="B7" s="5" t="n">
        <v>109.38</v>
      </c>
      <c r="C7" s="6" t="n">
        <v>5079</v>
      </c>
      <c r="D7" s="7" t="n">
        <v>12234</v>
      </c>
      <c r="E7" s="7" t="n">
        <v>9805</v>
      </c>
      <c r="F7" s="7" t="n">
        <v>5761</v>
      </c>
      <c r="G7" s="8">
        <f>D7/1000</f>
        <v/>
      </c>
      <c r="H7" s="8">
        <f>E7/1000</f>
        <v/>
      </c>
      <c r="I7" s="9">
        <f>IFERROR(D7/F7,"")</f>
        <v/>
      </c>
      <c r="J7" s="10" t="inlineStr">
        <is>
          <t>inclui 164 m de ligação suposta — confirmar</t>
        </is>
      </c>
    </row>
    <row r="8">
      <c r="A8" s="4" t="inlineStr">
        <is>
          <t>G-17</t>
        </is>
      </c>
      <c r="B8" s="5" t="n">
        <v>94.77</v>
      </c>
      <c r="C8" s="6" t="n">
        <v>4462</v>
      </c>
      <c r="D8" s="7" t="n">
        <v>12025</v>
      </c>
      <c r="E8" s="7" t="n">
        <v>9802</v>
      </c>
      <c r="F8" s="7" t="n">
        <v>5843</v>
      </c>
      <c r="G8" s="8">
        <f>D8/1000</f>
        <v/>
      </c>
      <c r="H8" s="8">
        <f>E8/1000</f>
        <v/>
      </c>
      <c r="I8" s="9">
        <f>IFERROR(D8/F8,"")</f>
        <v/>
      </c>
      <c r="J8" s="10" t="inlineStr">
        <is>
          <t>inclui 164 m de ligação suposta — confirmar</t>
        </is>
      </c>
    </row>
    <row r="9">
      <c r="A9" s="4" t="inlineStr">
        <is>
          <t>G-0910</t>
        </is>
      </c>
      <c r="B9" s="5" t="n">
        <v>89.45999999999999</v>
      </c>
      <c r="C9" s="6" t="n">
        <v>4696</v>
      </c>
      <c r="D9" s="7" t="n">
        <v>11599</v>
      </c>
      <c r="E9" s="7" t="n">
        <v>9260</v>
      </c>
      <c r="F9" s="7" t="n">
        <v>4316</v>
      </c>
      <c r="G9" s="8">
        <f>D9/1000</f>
        <v/>
      </c>
      <c r="H9" s="8">
        <f>E9/1000</f>
        <v/>
      </c>
      <c r="I9" s="9">
        <f>IFERROR(D9/F9,"")</f>
        <v/>
      </c>
      <c r="J9" s="10" t="inlineStr">
        <is>
          <t>inclui 164 m de ligação suposta — confirmar</t>
        </is>
      </c>
    </row>
    <row r="10">
      <c r="A10" s="4" t="inlineStr">
        <is>
          <t>G-03</t>
        </is>
      </c>
      <c r="B10" s="5" t="n">
        <v>108.02</v>
      </c>
      <c r="C10" s="6" t="n">
        <v>4421</v>
      </c>
      <c r="D10" s="7" t="n">
        <v>11084</v>
      </c>
      <c r="E10" s="7" t="n">
        <v>9286</v>
      </c>
      <c r="F10" s="7" t="n">
        <v>3884</v>
      </c>
      <c r="G10" s="8">
        <f>D10/1000</f>
        <v/>
      </c>
      <c r="H10" s="8">
        <f>E10/1000</f>
        <v/>
      </c>
      <c r="I10" s="9">
        <f>IFERROR(D10/F10,"")</f>
        <v/>
      </c>
      <c r="J10" s="10" t="inlineStr">
        <is>
          <t>inclui 164 m de ligação suposta — confirmar</t>
        </is>
      </c>
    </row>
    <row r="11">
      <c r="A11" s="4" t="inlineStr">
        <is>
          <t>G-11</t>
        </is>
      </c>
      <c r="B11" s="5" t="n">
        <v>132.13</v>
      </c>
      <c r="C11" s="6" t="n">
        <v>5473</v>
      </c>
      <c r="D11" s="7" t="n">
        <v>10747</v>
      </c>
      <c r="E11" s="7" t="n">
        <v>8023</v>
      </c>
      <c r="F11" s="7" t="n">
        <v>3937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>
        <is>
          <t>inclui 164 m de ligação suposta — confirmar</t>
        </is>
      </c>
    </row>
    <row r="12">
      <c r="A12" s="4" t="inlineStr">
        <is>
          <t>G-24B</t>
        </is>
      </c>
      <c r="B12" s="5" t="n">
        <v>104.14</v>
      </c>
      <c r="C12" s="6" t="n">
        <v>4954</v>
      </c>
      <c r="D12" s="7" t="n">
        <v>10605</v>
      </c>
      <c r="E12" s="7" t="n">
        <v>8172</v>
      </c>
      <c r="F12" s="7" t="n">
        <v>4772</v>
      </c>
      <c r="G12" s="8">
        <f>D12/1000</f>
        <v/>
      </c>
      <c r="H12" s="8">
        <f>E12/1000</f>
        <v/>
      </c>
      <c r="I12" s="9">
        <f>IFERROR(D12/F12,"")</f>
        <v/>
      </c>
      <c r="J12" s="10" t="inlineStr">
        <is>
          <t>inclui 164 m de ligação suposta — confirmar</t>
        </is>
      </c>
    </row>
    <row r="13">
      <c r="A13" s="4" t="inlineStr">
        <is>
          <t>G-18</t>
        </is>
      </c>
      <c r="B13" s="5" t="n">
        <v>147.09</v>
      </c>
      <c r="C13" s="6" t="n">
        <v>6062</v>
      </c>
      <c r="D13" s="7" t="n">
        <v>10482</v>
      </c>
      <c r="E13" s="7" t="n">
        <v>7943</v>
      </c>
      <c r="F13" s="7" t="n">
        <v>3959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>
        <is>
          <t>inclui 164 m de ligação suposta — confirmar</t>
        </is>
      </c>
    </row>
    <row r="14">
      <c r="A14" s="4" t="inlineStr">
        <is>
          <t>G-04</t>
        </is>
      </c>
      <c r="B14" s="5" t="n">
        <v>95.56</v>
      </c>
      <c r="C14" s="6" t="n">
        <v>5072</v>
      </c>
      <c r="D14" s="7" t="n">
        <v>10449</v>
      </c>
      <c r="E14" s="7" t="n">
        <v>7946</v>
      </c>
      <c r="F14" s="7" t="n">
        <v>2553</v>
      </c>
      <c r="G14" s="8">
        <f>D14/1000</f>
        <v/>
      </c>
      <c r="H14" s="8">
        <f>E14/1000</f>
        <v/>
      </c>
      <c r="I14" s="9">
        <f>IFERROR(D14/F14,"")</f>
        <v/>
      </c>
      <c r="J14" s="10" t="inlineStr">
        <is>
          <t>inclui 164 m de ligação suposta — confirmar</t>
        </is>
      </c>
    </row>
    <row r="15">
      <c r="A15" s="4" t="inlineStr">
        <is>
          <t>G-05</t>
        </is>
      </c>
      <c r="B15" s="5" t="n">
        <v>134.35</v>
      </c>
      <c r="C15" s="6" t="n">
        <v>5374</v>
      </c>
      <c r="D15" s="7" t="n">
        <v>9928</v>
      </c>
      <c r="E15" s="7" t="n">
        <v>7447</v>
      </c>
      <c r="F15" s="7" t="n">
        <v>1928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>
        <is>
          <t>inclui 164 m de ligação suposta — confirmar</t>
        </is>
      </c>
    </row>
    <row r="16">
      <c r="A16" s="4" t="inlineStr">
        <is>
          <t>G-24A</t>
        </is>
      </c>
      <c r="B16" s="5" t="n">
        <v>58.54</v>
      </c>
      <c r="C16" s="6" t="n">
        <v>3224</v>
      </c>
      <c r="D16" s="7" t="n">
        <v>9879</v>
      </c>
      <c r="E16" s="7" t="n">
        <v>8302</v>
      </c>
      <c r="F16" s="7" t="n">
        <v>4831</v>
      </c>
      <c r="G16" s="8">
        <f>D16/1000</f>
        <v/>
      </c>
      <c r="H16" s="8">
        <f>E16/1000</f>
        <v/>
      </c>
      <c r="I16" s="9">
        <f>IFERROR(D16/F16,"")</f>
        <v/>
      </c>
      <c r="J16" s="10" t="inlineStr">
        <is>
          <t>inclui 164 m de ligação suposta — confirmar</t>
        </is>
      </c>
    </row>
    <row r="17">
      <c r="A17" s="4" t="inlineStr">
        <is>
          <t>G-26</t>
        </is>
      </c>
      <c r="B17" s="5" t="n">
        <v>135.9</v>
      </c>
      <c r="C17" s="6" t="n">
        <v>5486</v>
      </c>
      <c r="D17" s="7" t="n">
        <v>9859</v>
      </c>
      <c r="E17" s="7" t="n">
        <v>7134</v>
      </c>
      <c r="F17" s="7" t="n">
        <v>3753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>
        <is>
          <t>inclui 164 m de ligação suposta — confirmar</t>
        </is>
      </c>
    </row>
    <row r="18">
      <c r="A18" s="4" t="inlineStr">
        <is>
          <t>G-12</t>
        </is>
      </c>
      <c r="B18" s="5" t="n">
        <v>113.56</v>
      </c>
      <c r="C18" s="6" t="n">
        <v>4624</v>
      </c>
      <c r="D18" s="7" t="n">
        <v>9732</v>
      </c>
      <c r="E18" s="7" t="n">
        <v>7429</v>
      </c>
      <c r="F18" s="7" t="n">
        <v>3449</v>
      </c>
      <c r="G18" s="8">
        <f>D18/1000</f>
        <v/>
      </c>
      <c r="H18" s="8">
        <f>E18/1000</f>
        <v/>
      </c>
      <c r="I18" s="9">
        <f>IFERROR(D18/F18,"")</f>
        <v/>
      </c>
      <c r="J18" s="10" t="inlineStr">
        <is>
          <t>inclui 164 m de ligação suposta — confirmar</t>
        </is>
      </c>
    </row>
    <row r="19">
      <c r="A19" s="4" t="inlineStr">
        <is>
          <t>G-19</t>
        </is>
      </c>
      <c r="B19" s="5" t="n">
        <v>120.74</v>
      </c>
      <c r="C19" s="6" t="n">
        <v>4912</v>
      </c>
      <c r="D19" s="7" t="n">
        <v>9235</v>
      </c>
      <c r="E19" s="7" t="n">
        <v>7443</v>
      </c>
      <c r="F19" s="7" t="n">
        <v>3467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>
        <is>
          <t>inclui 164 m de ligação suposta — confirmar</t>
        </is>
      </c>
    </row>
    <row r="20">
      <c r="A20" s="4" t="inlineStr">
        <is>
          <t>G-07</t>
        </is>
      </c>
      <c r="B20" s="5" t="n">
        <v>216.06</v>
      </c>
      <c r="C20" s="6" t="n">
        <v>5853</v>
      </c>
      <c r="D20" s="7" t="n">
        <v>8982</v>
      </c>
      <c r="E20" s="7" t="n">
        <v>6541</v>
      </c>
      <c r="F20" s="7" t="n">
        <v>814</v>
      </c>
      <c r="G20" s="8">
        <f>D20/1000</f>
        <v/>
      </c>
      <c r="H20" s="8">
        <f>E20/1000</f>
        <v/>
      </c>
      <c r="I20" s="9">
        <f>IFERROR(D20/F20,"")</f>
        <v/>
      </c>
      <c r="J20" s="10" t="inlineStr">
        <is>
          <t>inclui 164 m de ligação suposta — confirmar</t>
        </is>
      </c>
    </row>
    <row r="21">
      <c r="A21" s="4" t="inlineStr">
        <is>
          <t>G-13B</t>
        </is>
      </c>
      <c r="B21" s="5" t="n">
        <v>77.3</v>
      </c>
      <c r="C21" s="6" t="n">
        <v>3938</v>
      </c>
      <c r="D21" s="7" t="n">
        <v>8952</v>
      </c>
      <c r="E21" s="7" t="n">
        <v>6988</v>
      </c>
      <c r="F21" s="7" t="n">
        <v>2947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>
        <is>
          <t>inclui 164 m de ligação suposta — confirmar</t>
        </is>
      </c>
    </row>
    <row r="22">
      <c r="A22" s="4" t="inlineStr">
        <is>
          <t>G-25</t>
        </is>
      </c>
      <c r="B22" s="5" t="n">
        <v>60.32</v>
      </c>
      <c r="C22" s="6" t="n">
        <v>3294</v>
      </c>
      <c r="D22" s="7" t="n">
        <v>8768</v>
      </c>
      <c r="E22" s="7" t="n">
        <v>7140</v>
      </c>
      <c r="F22" s="7" t="n">
        <v>3665</v>
      </c>
      <c r="G22" s="8">
        <f>D22/1000</f>
        <v/>
      </c>
      <c r="H22" s="8">
        <f>E22/1000</f>
        <v/>
      </c>
      <c r="I22" s="9">
        <f>IFERROR(D22/F22,"")</f>
        <v/>
      </c>
      <c r="J22" s="10" t="inlineStr">
        <is>
          <t>inclui 164 m de ligação suposta — confirmar</t>
        </is>
      </c>
    </row>
    <row r="23">
      <c r="A23" s="4" t="inlineStr">
        <is>
          <t>G-06A</t>
        </is>
      </c>
      <c r="B23" s="5" t="n">
        <v>58.11</v>
      </c>
      <c r="C23" s="6" t="n">
        <v>3300</v>
      </c>
      <c r="D23" s="7" t="n">
        <v>8573</v>
      </c>
      <c r="E23" s="7" t="n">
        <v>6945</v>
      </c>
      <c r="F23" s="7" t="n">
        <v>1625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>
        <is>
          <t>inclui 164 m de ligação suposta — confirmar</t>
        </is>
      </c>
    </row>
    <row r="24">
      <c r="A24" s="4" t="inlineStr">
        <is>
          <t>G-13A</t>
        </is>
      </c>
      <c r="B24" s="5" t="n">
        <v>77.14</v>
      </c>
      <c r="C24" s="6" t="n">
        <v>4019</v>
      </c>
      <c r="D24" s="7" t="n">
        <v>8469</v>
      </c>
      <c r="E24" s="7" t="n">
        <v>6480</v>
      </c>
      <c r="F24" s="7" t="n">
        <v>2427</v>
      </c>
      <c r="G24" s="8">
        <f>D24/1000</f>
        <v/>
      </c>
      <c r="H24" s="8">
        <f>E24/1000</f>
        <v/>
      </c>
      <c r="I24" s="9">
        <f>IFERROR(D24/F24,"")</f>
        <v/>
      </c>
      <c r="J24" s="10" t="inlineStr">
        <is>
          <t>inclui 164 m de ligação suposta — confirmar</t>
        </is>
      </c>
    </row>
    <row r="25">
      <c r="A25" s="4" t="inlineStr">
        <is>
          <t>G-27</t>
        </is>
      </c>
      <c r="B25" s="5" t="n">
        <v>126.14</v>
      </c>
      <c r="C25" s="6" t="n">
        <v>5327</v>
      </c>
      <c r="D25" s="7" t="n">
        <v>8114</v>
      </c>
      <c r="E25" s="7" t="n">
        <v>5560</v>
      </c>
      <c r="F25" s="7" t="n">
        <v>2501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>
        <is>
          <t>inclui 164 m de ligação suposta — confirmar</t>
        </is>
      </c>
    </row>
    <row r="26">
      <c r="A26" s="4" t="inlineStr">
        <is>
          <t>G-20</t>
        </is>
      </c>
      <c r="B26" s="5" t="n">
        <v>181.22</v>
      </c>
      <c r="C26" s="6" t="n">
        <v>5265</v>
      </c>
      <c r="D26" s="7" t="n">
        <v>8030</v>
      </c>
      <c r="E26" s="7" t="n">
        <v>5655</v>
      </c>
      <c r="F26" s="7" t="n">
        <v>2399</v>
      </c>
      <c r="G26" s="8">
        <f>D26/1000</f>
        <v/>
      </c>
      <c r="H26" s="8">
        <f>E26/1000</f>
        <v/>
      </c>
      <c r="I26" s="9">
        <f>IFERROR(D26/F26,"")</f>
        <v/>
      </c>
      <c r="J26" s="10" t="inlineStr">
        <is>
          <t>inclui 164 m de ligação suposta — confirmar</t>
        </is>
      </c>
    </row>
    <row r="27">
      <c r="A27" s="4" t="inlineStr">
        <is>
          <t>G-14A</t>
        </is>
      </c>
      <c r="B27" s="5" t="n">
        <v>69.48999999999999</v>
      </c>
      <c r="C27" s="6" t="n">
        <v>3396</v>
      </c>
      <c r="D27" s="7" t="n">
        <v>7943</v>
      </c>
      <c r="E27" s="7" t="n">
        <v>6263</v>
      </c>
      <c r="F27" s="7" t="n">
        <v>1412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>
        <is>
          <t>inclui 164 m de ligação suposta — confirmar</t>
        </is>
      </c>
    </row>
    <row r="28">
      <c r="A28" s="4" t="inlineStr">
        <is>
          <t>G-15</t>
        </is>
      </c>
      <c r="B28" s="5" t="n">
        <v>115.98</v>
      </c>
      <c r="C28" s="6" t="n">
        <v>4428</v>
      </c>
      <c r="D28" s="7" t="n">
        <v>7412</v>
      </c>
      <c r="E28" s="7" t="n">
        <v>5399</v>
      </c>
      <c r="F28" s="7" t="n">
        <v>146</v>
      </c>
      <c r="G28" s="8">
        <f>D28/1000</f>
        <v/>
      </c>
      <c r="H28" s="8">
        <f>E28/1000</f>
        <v/>
      </c>
      <c r="I28" s="9">
        <f>IFERROR(D28/F28,"")</f>
        <v/>
      </c>
      <c r="J28" s="10" t="inlineStr">
        <is>
          <t>inclui 164 m de ligação suposta — confirmar</t>
        </is>
      </c>
    </row>
    <row r="29">
      <c r="A29" s="4" t="inlineStr">
        <is>
          <t>G-14B</t>
        </is>
      </c>
      <c r="B29" s="5" t="n">
        <v>81.70999999999999</v>
      </c>
      <c r="C29" s="6" t="n">
        <v>3644</v>
      </c>
      <c r="D29" s="7" t="n">
        <v>7250</v>
      </c>
      <c r="E29" s="7" t="n">
        <v>5447</v>
      </c>
      <c r="F29" s="7" t="n">
        <v>1405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>
        <is>
          <t>inclui 164 m de ligação suposta — confirmar</t>
        </is>
      </c>
    </row>
    <row r="30">
      <c r="A30" s="4" t="inlineStr">
        <is>
          <t>G-21</t>
        </is>
      </c>
      <c r="B30" s="5" t="n">
        <v>101.37</v>
      </c>
      <c r="C30" s="6" t="n">
        <v>4345</v>
      </c>
      <c r="D30" s="7" t="n">
        <v>6654</v>
      </c>
      <c r="E30" s="7" t="n">
        <v>4848</v>
      </c>
      <c r="F30" s="7" t="n">
        <v>1064</v>
      </c>
      <c r="G30" s="8">
        <f>D30/1000</f>
        <v/>
      </c>
      <c r="H30" s="8">
        <f>E30/1000</f>
        <v/>
      </c>
      <c r="I30" s="9">
        <f>IFERROR(D30/F30,"")</f>
        <v/>
      </c>
      <c r="J30" s="10" t="inlineStr">
        <is>
          <t>inclui 164 m de ligação suposta — confirmar</t>
        </is>
      </c>
    </row>
    <row r="31">
      <c r="A31" s="4" t="inlineStr">
        <is>
          <t>G-22</t>
        </is>
      </c>
      <c r="B31" s="5" t="n">
        <v>46.71</v>
      </c>
      <c r="C31" s="6" t="n">
        <v>3528</v>
      </c>
      <c r="D31" s="7" t="n">
        <v>6401</v>
      </c>
      <c r="E31" s="7" t="n">
        <v>4648</v>
      </c>
      <c r="F31" s="7" t="n">
        <v>363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>
        <is>
          <t>inclui 164 m de ligação suposta — confirmar</t>
        </is>
      </c>
    </row>
    <row r="32">
      <c r="A32" s="4" t="inlineStr">
        <is>
          <t>G-28</t>
        </is>
      </c>
      <c r="B32" s="5" t="n">
        <v>77.56999999999999</v>
      </c>
      <c r="C32" s="6" t="n">
        <v>4424</v>
      </c>
      <c r="D32" s="7" t="n">
        <v>5723</v>
      </c>
      <c r="E32" s="7" t="n">
        <v>3524</v>
      </c>
      <c r="F32" s="7" t="n">
        <v>1818</v>
      </c>
      <c r="G32" s="8">
        <f>D32/1000</f>
        <v/>
      </c>
      <c r="H32" s="8">
        <f>E32/1000</f>
        <v/>
      </c>
      <c r="I32" s="9">
        <f>IFERROR(D32/F32,"")</f>
        <v/>
      </c>
      <c r="J32" s="10" t="inlineStr">
        <is>
          <t>inclui 164 m de ligação suposta — confirmar</t>
        </is>
      </c>
    </row>
    <row r="33">
      <c r="A33" s="4" t="inlineStr">
        <is>
          <t>G-29</t>
        </is>
      </c>
      <c r="B33" s="5" t="n">
        <v>116.19</v>
      </c>
      <c r="C33" s="6" t="n">
        <v>5494</v>
      </c>
      <c r="D33" s="7" t="n">
        <v>5279</v>
      </c>
      <c r="E33" s="7" t="n">
        <v>2547</v>
      </c>
      <c r="F33" s="7" t="n">
        <v>859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>
        <is>
          <t>inclui 164 m de ligação suposta — confirmar</t>
        </is>
      </c>
    </row>
    <row r="34">
      <c r="A34" s="11" t="inlineStr">
        <is>
          <t>G-08A</t>
        </is>
      </c>
      <c r="B34" s="12" t="n">
        <v>40.79</v>
      </c>
      <c r="C34" s="13" t="n">
        <v>2958</v>
      </c>
      <c r="D34" s="14" t="n">
        <v>3680</v>
      </c>
      <c r="E34" s="14" t="n">
        <v>2411</v>
      </c>
      <c r="F34" s="14" t="n">
        <v>1951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18" t="inlineStr">
        <is>
          <t>G-08B</t>
        </is>
      </c>
      <c r="B35" s="19" t="n">
        <v>47.16</v>
      </c>
      <c r="C35" s="20" t="n">
        <v>3144</v>
      </c>
      <c r="D35" s="21" t="n">
        <v>3354</v>
      </c>
      <c r="E35" s="21" t="n">
        <v>2012</v>
      </c>
      <c r="F35" s="21" t="n">
        <v>1296</v>
      </c>
      <c r="G35" s="22">
        <f>D35/1000</f>
        <v/>
      </c>
      <c r="H35" s="22">
        <f>E35/1000</f>
        <v/>
      </c>
      <c r="I35" s="23">
        <f>IFERROR(D35/F35,"")</f>
        <v/>
      </c>
      <c r="J35" s="24" t="inlineStr"/>
    </row>
    <row r="36">
      <c r="A36" s="11" t="inlineStr">
        <is>
          <t>R-20</t>
        </is>
      </c>
      <c r="B36" s="12" t="n">
        <v>32.34</v>
      </c>
      <c r="C36" s="13" t="n">
        <v>2321</v>
      </c>
      <c r="D36" s="14" t="n">
        <v>3072</v>
      </c>
      <c r="E36" s="14" t="n">
        <v>1922</v>
      </c>
      <c r="F36" s="14" t="n">
        <v>1812</v>
      </c>
      <c r="G36" s="15">
        <f>D36/1000</f>
        <v/>
      </c>
      <c r="H36" s="15">
        <f>E36/1000</f>
        <v/>
      </c>
      <c r="I36" s="16">
        <f>IFERROR(D36/F36,"")</f>
        <v/>
      </c>
      <c r="J36" s="17" t="inlineStr"/>
    </row>
    <row r="37">
      <c r="A37" s="4" t="inlineStr">
        <is>
          <t>PAST</t>
        </is>
      </c>
      <c r="B37" s="5" t="n">
        <v>51.47</v>
      </c>
      <c r="C37" s="6" t="n">
        <v>3236</v>
      </c>
      <c r="D37" s="7" t="n">
        <v>2758</v>
      </c>
      <c r="E37" s="7" t="n">
        <v>1144</v>
      </c>
      <c r="F37" s="7" t="n">
        <v>648</v>
      </c>
      <c r="G37" s="8">
        <f>D37/1000</f>
        <v/>
      </c>
      <c r="H37" s="8">
        <f>E37/1000</f>
        <v/>
      </c>
      <c r="I37" s="9">
        <f>IFERROR(D37/F37,"")</f>
        <v/>
      </c>
      <c r="J37" s="25" t="inlineStr"/>
    </row>
    <row r="38">
      <c r="A38" s="11" t="inlineStr">
        <is>
          <t>G-08</t>
        </is>
      </c>
      <c r="B38" s="12" t="n">
        <v>41.91</v>
      </c>
      <c r="C38" s="13" t="n">
        <v>3348</v>
      </c>
      <c r="D38" s="14" t="n">
        <v>2620</v>
      </c>
      <c r="E38" s="14" t="n">
        <v>1112</v>
      </c>
      <c r="F38" s="14" t="n">
        <v>1009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G-06B</t>
        </is>
      </c>
      <c r="B39" s="5" t="n">
        <v>53.79</v>
      </c>
      <c r="C39" s="6" t="n">
        <v>3036</v>
      </c>
      <c r="D39" s="7" t="n">
        <v>2358</v>
      </c>
      <c r="E39" s="7" t="n">
        <v>1149</v>
      </c>
      <c r="F39" s="7" t="n">
        <v>607</v>
      </c>
      <c r="G39" s="8">
        <f>D39/1000</f>
        <v/>
      </c>
      <c r="H39" s="8">
        <f>E39/1000</f>
        <v/>
      </c>
      <c r="I39" s="9">
        <f>IFERROR(D39/F39,"")</f>
        <v/>
      </c>
      <c r="J39" s="25" t="inlineStr"/>
    </row>
    <row r="40">
      <c r="A40" s="4" t="inlineStr">
        <is>
          <t>G-16</t>
        </is>
      </c>
      <c r="B40" s="5" t="n">
        <v>58.91</v>
      </c>
      <c r="C40" s="6" t="n">
        <v>3665</v>
      </c>
      <c r="D40" s="7" t="n">
        <v>1958</v>
      </c>
      <c r="E40" s="7" t="n">
        <v>138</v>
      </c>
      <c r="F40" s="7" t="n">
        <v>137</v>
      </c>
      <c r="G40" s="8">
        <f>D40/1000</f>
        <v/>
      </c>
      <c r="H40" s="8">
        <f>E40/1000</f>
        <v/>
      </c>
      <c r="I40" s="9">
        <f>IFERROR(D40/F40,"")</f>
        <v/>
      </c>
      <c r="J40" s="25" t="inlineStr"/>
    </row>
    <row r="41">
      <c r="A41" s="4" t="inlineStr">
        <is>
          <t>QL-01</t>
        </is>
      </c>
      <c r="B41" s="5" t="n">
        <v>91.09</v>
      </c>
      <c r="C41" s="6" t="n">
        <v>4800</v>
      </c>
      <c r="D41" s="26" t="inlineStr">
        <is>
          <t>sem acesso</t>
        </is>
      </c>
      <c r="E41" s="26" t="inlineStr">
        <is>
          <t>sem acesso</t>
        </is>
      </c>
      <c r="F41" s="7" t="n">
        <v>9296</v>
      </c>
      <c r="G41" s="27" t="inlineStr">
        <is>
          <t>—</t>
        </is>
      </c>
      <c r="H41" s="27" t="inlineStr">
        <is>
          <t>—</t>
        </is>
      </c>
      <c r="I41" s="28" t="inlineStr">
        <is>
          <t>—</t>
        </is>
      </c>
      <c r="J41" s="10" t="inlineStr">
        <is>
          <t>sem estrada até este talhão</t>
        </is>
      </c>
    </row>
    <row r="42">
      <c r="A42" s="4" t="inlineStr">
        <is>
          <t>QL-02</t>
        </is>
      </c>
      <c r="B42" s="5" t="n">
        <v>115.34</v>
      </c>
      <c r="C42" s="6" t="n">
        <v>4522</v>
      </c>
      <c r="D42" s="26" t="inlineStr">
        <is>
          <t>sem acesso</t>
        </is>
      </c>
      <c r="E42" s="26" t="inlineStr">
        <is>
          <t>sem acesso</t>
        </is>
      </c>
      <c r="F42" s="7" t="n">
        <v>10721</v>
      </c>
      <c r="G42" s="27" t="inlineStr">
        <is>
          <t>—</t>
        </is>
      </c>
      <c r="H42" s="27" t="inlineStr">
        <is>
          <t>—</t>
        </is>
      </c>
      <c r="I42" s="28" t="inlineStr">
        <is>
          <t>—</t>
        </is>
      </c>
      <c r="J42" s="10" t="inlineStr">
        <is>
          <t>sem estrada até este talhão</t>
        </is>
      </c>
    </row>
    <row r="43">
      <c r="A43" s="4" t="inlineStr">
        <is>
          <t>QL-03</t>
        </is>
      </c>
      <c r="B43" s="5" t="n">
        <v>150.12</v>
      </c>
      <c r="C43" s="6" t="n">
        <v>5537</v>
      </c>
      <c r="D43" s="26" t="inlineStr">
        <is>
          <t>sem acesso</t>
        </is>
      </c>
      <c r="E43" s="26" t="inlineStr">
        <is>
          <t>sem acesso</t>
        </is>
      </c>
      <c r="F43" s="7" t="n">
        <v>10594</v>
      </c>
      <c r="G43" s="27" t="inlineStr">
        <is>
          <t>—</t>
        </is>
      </c>
      <c r="H43" s="27" t="inlineStr">
        <is>
          <t>—</t>
        </is>
      </c>
      <c r="I43" s="28" t="inlineStr">
        <is>
          <t>—</t>
        </is>
      </c>
      <c r="J43" s="10" t="inlineStr">
        <is>
          <t>sem estrada até este talhão</t>
        </is>
      </c>
    </row>
    <row r="44">
      <c r="A44" s="4" t="inlineStr">
        <is>
          <t>QL-04</t>
        </is>
      </c>
      <c r="B44" s="5" t="n">
        <v>187.98</v>
      </c>
      <c r="C44" s="6" t="n">
        <v>5527</v>
      </c>
      <c r="D44" s="26" t="inlineStr">
        <is>
          <t>sem acesso</t>
        </is>
      </c>
      <c r="E44" s="26" t="inlineStr">
        <is>
          <t>sem acesso</t>
        </is>
      </c>
      <c r="F44" s="7" t="n">
        <v>12272</v>
      </c>
      <c r="G44" s="27" t="inlineStr">
        <is>
          <t>—</t>
        </is>
      </c>
      <c r="H44" s="27" t="inlineStr">
        <is>
          <t>—</t>
        </is>
      </c>
      <c r="I44" s="28" t="inlineStr">
        <is>
          <t>—</t>
        </is>
      </c>
      <c r="J44" s="10" t="inlineStr">
        <is>
          <t>sem estrada até este talhão</t>
        </is>
      </c>
    </row>
    <row r="45">
      <c r="A45" s="4" t="inlineStr">
        <is>
          <t>QL-05</t>
        </is>
      </c>
      <c r="B45" s="5" t="n">
        <v>101.29</v>
      </c>
      <c r="C45" s="6" t="n">
        <v>4656</v>
      </c>
      <c r="D45" s="26" t="inlineStr">
        <is>
          <t>sem acesso</t>
        </is>
      </c>
      <c r="E45" s="26" t="inlineStr">
        <is>
          <t>sem acesso</t>
        </is>
      </c>
      <c r="F45" s="7" t="n">
        <v>13485</v>
      </c>
      <c r="G45" s="27" t="inlineStr">
        <is>
          <t>—</t>
        </is>
      </c>
      <c r="H45" s="27" t="inlineStr">
        <is>
          <t>—</t>
        </is>
      </c>
      <c r="I45" s="28" t="inlineStr">
        <is>
          <t>—</t>
        </is>
      </c>
      <c r="J45" s="10" t="inlineStr">
        <is>
          <t>sem estrada até este talhão</t>
        </is>
      </c>
    </row>
    <row r="46">
      <c r="A46" s="4" t="inlineStr">
        <is>
          <t>QL-06</t>
        </is>
      </c>
      <c r="B46" s="5" t="n">
        <v>39.91</v>
      </c>
      <c r="C46" s="6" t="n">
        <v>3529</v>
      </c>
      <c r="D46" s="26" t="inlineStr">
        <is>
          <t>sem acesso</t>
        </is>
      </c>
      <c r="E46" s="26" t="inlineStr">
        <is>
          <t>sem acesso</t>
        </is>
      </c>
      <c r="F46" s="7" t="n">
        <v>10408</v>
      </c>
      <c r="G46" s="27" t="inlineStr">
        <is>
          <t>—</t>
        </is>
      </c>
      <c r="H46" s="27" t="inlineStr">
        <is>
          <t>—</t>
        </is>
      </c>
      <c r="I46" s="28" t="inlineStr">
        <is>
          <t>—</t>
        </is>
      </c>
      <c r="J46" s="10" t="inlineStr">
        <is>
          <t>sem estrada até este talhão</t>
        </is>
      </c>
    </row>
    <row r="47">
      <c r="A47" s="4" t="inlineStr">
        <is>
          <t>QL-07</t>
        </is>
      </c>
      <c r="B47" s="5" t="n">
        <v>148.64</v>
      </c>
      <c r="C47" s="6" t="n">
        <v>5030</v>
      </c>
      <c r="D47" s="26" t="inlineStr">
        <is>
          <t>sem acesso</t>
        </is>
      </c>
      <c r="E47" s="26" t="inlineStr">
        <is>
          <t>sem acesso</t>
        </is>
      </c>
      <c r="F47" s="7" t="n">
        <v>11235</v>
      </c>
      <c r="G47" s="27" t="inlineStr">
        <is>
          <t>—</t>
        </is>
      </c>
      <c r="H47" s="27" t="inlineStr">
        <is>
          <t>—</t>
        </is>
      </c>
      <c r="I47" s="28" t="inlineStr">
        <is>
          <t>—</t>
        </is>
      </c>
      <c r="J47" s="10" t="inlineStr">
        <is>
          <t>sem estrada até este talhão</t>
        </is>
      </c>
    </row>
    <row r="48">
      <c r="A48" s="4" t="inlineStr">
        <is>
          <t>QL-08</t>
        </is>
      </c>
      <c r="B48" s="5" t="n">
        <v>110.65</v>
      </c>
      <c r="C48" s="6" t="n">
        <v>4294</v>
      </c>
      <c r="D48" s="26" t="inlineStr">
        <is>
          <t>sem acesso</t>
        </is>
      </c>
      <c r="E48" s="26" t="inlineStr">
        <is>
          <t>sem acesso</t>
        </is>
      </c>
      <c r="F48" s="7" t="n">
        <v>12248</v>
      </c>
      <c r="G48" s="27" t="inlineStr">
        <is>
          <t>—</t>
        </is>
      </c>
      <c r="H48" s="27" t="inlineStr">
        <is>
          <t>—</t>
        </is>
      </c>
      <c r="I48" s="28" t="inlineStr">
        <is>
          <t>—</t>
        </is>
      </c>
      <c r="J48" s="10" t="inlineStr">
        <is>
          <t>sem estrada até este talhão</t>
        </is>
      </c>
    </row>
    <row r="49">
      <c r="A49" s="4" t="inlineStr">
        <is>
          <t>QL-09</t>
        </is>
      </c>
      <c r="B49" s="5" t="n">
        <v>112.46</v>
      </c>
      <c r="C49" s="6" t="n">
        <v>4616</v>
      </c>
      <c r="D49" s="26" t="inlineStr">
        <is>
          <t>sem acesso</t>
        </is>
      </c>
      <c r="E49" s="26" t="inlineStr">
        <is>
          <t>sem acesso</t>
        </is>
      </c>
      <c r="F49" s="7" t="n">
        <v>12954</v>
      </c>
      <c r="G49" s="27" t="inlineStr">
        <is>
          <t>—</t>
        </is>
      </c>
      <c r="H49" s="27" t="inlineStr">
        <is>
          <t>—</t>
        </is>
      </c>
      <c r="I49" s="28" t="inlineStr">
        <is>
          <t>—</t>
        </is>
      </c>
      <c r="J49" s="10" t="inlineStr">
        <is>
          <t>sem estrada até este talhão</t>
        </is>
      </c>
    </row>
    <row r="50">
      <c r="A50" s="4" t="inlineStr">
        <is>
          <t>QL-10</t>
        </is>
      </c>
      <c r="B50" s="5" t="n">
        <v>24.13</v>
      </c>
      <c r="C50" s="6" t="n">
        <v>2354</v>
      </c>
      <c r="D50" s="26" t="inlineStr">
        <is>
          <t>sem acesso</t>
        </is>
      </c>
      <c r="E50" s="26" t="inlineStr">
        <is>
          <t>sem acesso</t>
        </is>
      </c>
      <c r="F50" s="7" t="n">
        <v>11750</v>
      </c>
      <c r="G50" s="27" t="inlineStr">
        <is>
          <t>—</t>
        </is>
      </c>
      <c r="H50" s="27" t="inlineStr">
        <is>
          <t>—</t>
        </is>
      </c>
      <c r="I50" s="28" t="inlineStr">
        <is>
          <t>—</t>
        </is>
      </c>
      <c r="J50" s="10" t="inlineStr">
        <is>
          <t>sem estrada até este talhão</t>
        </is>
      </c>
    </row>
    <row r="51">
      <c r="A51" s="4" t="inlineStr">
        <is>
          <t>QL-11</t>
        </is>
      </c>
      <c r="B51" s="5" t="n">
        <v>105.12</v>
      </c>
      <c r="C51" s="6" t="n">
        <v>4649</v>
      </c>
      <c r="D51" s="26" t="inlineStr">
        <is>
          <t>sem acesso</t>
        </is>
      </c>
      <c r="E51" s="26" t="inlineStr">
        <is>
          <t>sem acesso</t>
        </is>
      </c>
      <c r="F51" s="7" t="n">
        <v>12254</v>
      </c>
      <c r="G51" s="27" t="inlineStr">
        <is>
          <t>—</t>
        </is>
      </c>
      <c r="H51" s="27" t="inlineStr">
        <is>
          <t>—</t>
        </is>
      </c>
      <c r="I51" s="28" t="inlineStr">
        <is>
          <t>—</t>
        </is>
      </c>
      <c r="J51" s="10" t="inlineStr">
        <is>
          <t>sem estrada até este talhão</t>
        </is>
      </c>
    </row>
    <row r="52">
      <c r="A52" s="4" t="inlineStr">
        <is>
          <t>QL-12</t>
        </is>
      </c>
      <c r="B52" s="5" t="n">
        <v>93.40000000000001</v>
      </c>
      <c r="C52" s="6" t="n">
        <v>4095</v>
      </c>
      <c r="D52" s="26" t="inlineStr">
        <is>
          <t>sem acesso</t>
        </is>
      </c>
      <c r="E52" s="26" t="inlineStr">
        <is>
          <t>sem acesso</t>
        </is>
      </c>
      <c r="F52" s="7" t="n">
        <v>15632</v>
      </c>
      <c r="G52" s="27" t="inlineStr">
        <is>
          <t>—</t>
        </is>
      </c>
      <c r="H52" s="27" t="inlineStr">
        <is>
          <t>—</t>
        </is>
      </c>
      <c r="I52" s="28" t="inlineStr">
        <is>
          <t>—</t>
        </is>
      </c>
      <c r="J52" s="10" t="inlineStr">
        <is>
          <t>sem estrada até este talhão</t>
        </is>
      </c>
    </row>
    <row r="53">
      <c r="A53" s="4" t="inlineStr">
        <is>
          <t>QL-13</t>
        </is>
      </c>
      <c r="B53" s="5" t="n">
        <v>206.71</v>
      </c>
      <c r="C53" s="6" t="n">
        <v>5758</v>
      </c>
      <c r="D53" s="26" t="inlineStr">
        <is>
          <t>sem acesso</t>
        </is>
      </c>
      <c r="E53" s="26" t="inlineStr">
        <is>
          <t>sem acesso</t>
        </is>
      </c>
      <c r="F53" s="7" t="n">
        <v>16801</v>
      </c>
      <c r="G53" s="27" t="inlineStr">
        <is>
          <t>—</t>
        </is>
      </c>
      <c r="H53" s="27" t="inlineStr">
        <is>
          <t>—</t>
        </is>
      </c>
      <c r="I53" s="28" t="inlineStr">
        <is>
          <t>—</t>
        </is>
      </c>
      <c r="J53" s="10" t="inlineStr">
        <is>
          <t>sem estrada até este talhão</t>
        </is>
      </c>
    </row>
    <row r="54">
      <c r="A54" s="4" t="inlineStr">
        <is>
          <t>QL-14</t>
        </is>
      </c>
      <c r="B54" s="5" t="n">
        <v>264.92</v>
      </c>
      <c r="C54" s="6" t="n">
        <v>6610</v>
      </c>
      <c r="D54" s="26" t="inlineStr">
        <is>
          <t>sem acesso</t>
        </is>
      </c>
      <c r="E54" s="26" t="inlineStr">
        <is>
          <t>sem acesso</t>
        </is>
      </c>
      <c r="F54" s="7" t="n">
        <v>18196</v>
      </c>
      <c r="G54" s="27" t="inlineStr">
        <is>
          <t>—</t>
        </is>
      </c>
      <c r="H54" s="27" t="inlineStr">
        <is>
          <t>—</t>
        </is>
      </c>
      <c r="I54" s="28" t="inlineStr">
        <is>
          <t>—</t>
        </is>
      </c>
      <c r="J54" s="10" t="inlineStr">
        <is>
          <t>sem estrada até este talhão</t>
        </is>
      </c>
    </row>
    <row r="55">
      <c r="A55" s="4" t="inlineStr">
        <is>
          <t>R-01</t>
        </is>
      </c>
      <c r="B55" s="5" t="n">
        <v>100.37</v>
      </c>
      <c r="C55" s="6" t="n">
        <v>4407</v>
      </c>
      <c r="D55" s="26" t="inlineStr">
        <is>
          <t>sem acesso</t>
        </is>
      </c>
      <c r="E55" s="26" t="inlineStr">
        <is>
          <t>sem acesso</t>
        </is>
      </c>
      <c r="F55" s="7" t="n">
        <v>2953</v>
      </c>
      <c r="G55" s="27" t="inlineStr">
        <is>
          <t>—</t>
        </is>
      </c>
      <c r="H55" s="27" t="inlineStr">
        <is>
          <t>—</t>
        </is>
      </c>
      <c r="I55" s="28" t="inlineStr">
        <is>
          <t>—</t>
        </is>
      </c>
      <c r="J55" s="10" t="inlineStr">
        <is>
          <t>sem estrada até este talhão</t>
        </is>
      </c>
    </row>
    <row r="56">
      <c r="A56" s="4" t="inlineStr">
        <is>
          <t>R-02</t>
        </is>
      </c>
      <c r="B56" s="5" t="n">
        <v>90.05</v>
      </c>
      <c r="C56" s="6" t="n">
        <v>4519</v>
      </c>
      <c r="D56" s="26" t="inlineStr">
        <is>
          <t>sem acesso</t>
        </is>
      </c>
      <c r="E56" s="26" t="inlineStr">
        <is>
          <t>sem acesso</t>
        </is>
      </c>
      <c r="F56" s="7" t="n">
        <v>4488</v>
      </c>
      <c r="G56" s="27" t="inlineStr">
        <is>
          <t>—</t>
        </is>
      </c>
      <c r="H56" s="27" t="inlineStr">
        <is>
          <t>—</t>
        </is>
      </c>
      <c r="I56" s="28" t="inlineStr">
        <is>
          <t>—</t>
        </is>
      </c>
      <c r="J56" s="10" t="inlineStr">
        <is>
          <t>sem estrada até este talhão</t>
        </is>
      </c>
    </row>
    <row r="57">
      <c r="A57" s="4" t="inlineStr">
        <is>
          <t>R-03</t>
        </is>
      </c>
      <c r="B57" s="5" t="n">
        <v>104.78</v>
      </c>
      <c r="C57" s="6" t="n">
        <v>4041</v>
      </c>
      <c r="D57" s="26" t="inlineStr">
        <is>
          <t>sem acesso</t>
        </is>
      </c>
      <c r="E57" s="26" t="inlineStr">
        <is>
          <t>sem acesso</t>
        </is>
      </c>
      <c r="F57" s="7" t="n">
        <v>3978</v>
      </c>
      <c r="G57" s="27" t="inlineStr">
        <is>
          <t>—</t>
        </is>
      </c>
      <c r="H57" s="27" t="inlineStr">
        <is>
          <t>—</t>
        </is>
      </c>
      <c r="I57" s="28" t="inlineStr">
        <is>
          <t>—</t>
        </is>
      </c>
      <c r="J57" s="10" t="inlineStr">
        <is>
          <t>sem estrada até este talhão</t>
        </is>
      </c>
    </row>
    <row r="58">
      <c r="A58" s="4" t="inlineStr">
        <is>
          <t>R-04</t>
        </is>
      </c>
      <c r="B58" s="5" t="n">
        <v>194.16</v>
      </c>
      <c r="C58" s="6" t="n">
        <v>6605</v>
      </c>
      <c r="D58" s="26" t="inlineStr">
        <is>
          <t>sem acesso</t>
        </is>
      </c>
      <c r="E58" s="26" t="inlineStr">
        <is>
          <t>sem acesso</t>
        </is>
      </c>
      <c r="F58" s="7" t="n">
        <v>6121</v>
      </c>
      <c r="G58" s="27" t="inlineStr">
        <is>
          <t>—</t>
        </is>
      </c>
      <c r="H58" s="27" t="inlineStr">
        <is>
          <t>—</t>
        </is>
      </c>
      <c r="I58" s="28" t="inlineStr">
        <is>
          <t>—</t>
        </is>
      </c>
      <c r="J58" s="10" t="inlineStr">
        <is>
          <t>sem estrada até este talhão</t>
        </is>
      </c>
    </row>
    <row r="59">
      <c r="A59" s="4" t="inlineStr">
        <is>
          <t>R-05</t>
        </is>
      </c>
      <c r="B59" s="5" t="n">
        <v>113.15</v>
      </c>
      <c r="C59" s="6" t="n">
        <v>4286</v>
      </c>
      <c r="D59" s="26" t="inlineStr">
        <is>
          <t>sem acesso</t>
        </is>
      </c>
      <c r="E59" s="26" t="inlineStr">
        <is>
          <t>sem acesso</t>
        </is>
      </c>
      <c r="F59" s="7" t="n">
        <v>7671</v>
      </c>
      <c r="G59" s="27" t="inlineStr">
        <is>
          <t>—</t>
        </is>
      </c>
      <c r="H59" s="27" t="inlineStr">
        <is>
          <t>—</t>
        </is>
      </c>
      <c r="I59" s="28" t="inlineStr">
        <is>
          <t>—</t>
        </is>
      </c>
      <c r="J59" s="10" t="inlineStr">
        <is>
          <t>sem estrada até este talhão</t>
        </is>
      </c>
    </row>
    <row r="60">
      <c r="A60" s="4" t="inlineStr">
        <is>
          <t>R-05A</t>
        </is>
      </c>
      <c r="B60" s="5" t="n">
        <v>37.01</v>
      </c>
      <c r="C60" s="6" t="n">
        <v>2635</v>
      </c>
      <c r="D60" s="26" t="inlineStr">
        <is>
          <t>sem acesso</t>
        </is>
      </c>
      <c r="E60" s="26" t="inlineStr">
        <is>
          <t>sem acesso</t>
        </is>
      </c>
      <c r="F60" s="7" t="n">
        <v>8660</v>
      </c>
      <c r="G60" s="27" t="inlineStr">
        <is>
          <t>—</t>
        </is>
      </c>
      <c r="H60" s="27" t="inlineStr">
        <is>
          <t>—</t>
        </is>
      </c>
      <c r="I60" s="28" t="inlineStr">
        <is>
          <t>—</t>
        </is>
      </c>
      <c r="J60" s="10" t="inlineStr">
        <is>
          <t>sem estrada até este talhão</t>
        </is>
      </c>
    </row>
    <row r="61">
      <c r="A61" s="4" t="inlineStr">
        <is>
          <t>R-06</t>
        </is>
      </c>
      <c r="B61" s="5" t="n">
        <v>57.95</v>
      </c>
      <c r="C61" s="6" t="n">
        <v>4422</v>
      </c>
      <c r="D61" s="26" t="inlineStr">
        <is>
          <t>sem acesso</t>
        </is>
      </c>
      <c r="E61" s="26" t="inlineStr">
        <is>
          <t>sem acesso</t>
        </is>
      </c>
      <c r="F61" s="7" t="n">
        <v>4986</v>
      </c>
      <c r="G61" s="27" t="inlineStr">
        <is>
          <t>—</t>
        </is>
      </c>
      <c r="H61" s="27" t="inlineStr">
        <is>
          <t>—</t>
        </is>
      </c>
      <c r="I61" s="28" t="inlineStr">
        <is>
          <t>—</t>
        </is>
      </c>
      <c r="J61" s="10" t="inlineStr">
        <is>
          <t>sem estrada até este talhão</t>
        </is>
      </c>
    </row>
    <row r="62">
      <c r="A62" s="4" t="inlineStr">
        <is>
          <t>R-07</t>
        </is>
      </c>
      <c r="B62" s="5" t="n">
        <v>136.11</v>
      </c>
      <c r="C62" s="6" t="n">
        <v>5358</v>
      </c>
      <c r="D62" s="26" t="inlineStr">
        <is>
          <t>sem acesso</t>
        </is>
      </c>
      <c r="E62" s="26" t="inlineStr">
        <is>
          <t>sem acesso</t>
        </is>
      </c>
      <c r="F62" s="7" t="n">
        <v>5516</v>
      </c>
      <c r="G62" s="27" t="inlineStr">
        <is>
          <t>—</t>
        </is>
      </c>
      <c r="H62" s="27" t="inlineStr">
        <is>
          <t>—</t>
        </is>
      </c>
      <c r="I62" s="28" t="inlineStr">
        <is>
          <t>—</t>
        </is>
      </c>
      <c r="J62" s="10" t="inlineStr">
        <is>
          <t>sem estrada até este talhão</t>
        </is>
      </c>
    </row>
    <row r="63">
      <c r="A63" s="4" t="inlineStr">
        <is>
          <t>R-08</t>
        </is>
      </c>
      <c r="B63" s="5" t="n">
        <v>64.98</v>
      </c>
      <c r="C63" s="6" t="n">
        <v>4902</v>
      </c>
      <c r="D63" s="26" t="inlineStr">
        <is>
          <t>sem acesso</t>
        </is>
      </c>
      <c r="E63" s="26" t="inlineStr">
        <is>
          <t>sem acesso</t>
        </is>
      </c>
      <c r="F63" s="7" t="n">
        <v>7606</v>
      </c>
      <c r="G63" s="27" t="inlineStr">
        <is>
          <t>—</t>
        </is>
      </c>
      <c r="H63" s="27" t="inlineStr">
        <is>
          <t>—</t>
        </is>
      </c>
      <c r="I63" s="28" t="inlineStr">
        <is>
          <t>—</t>
        </is>
      </c>
      <c r="J63" s="10" t="inlineStr">
        <is>
          <t>sem estrada até este talhão</t>
        </is>
      </c>
    </row>
    <row r="64">
      <c r="A64" s="4" t="inlineStr">
        <is>
          <t>R-09</t>
        </is>
      </c>
      <c r="B64" s="5" t="n">
        <v>158.96</v>
      </c>
      <c r="C64" s="6" t="n">
        <v>5463</v>
      </c>
      <c r="D64" s="26" t="inlineStr">
        <is>
          <t>sem acesso</t>
        </is>
      </c>
      <c r="E64" s="26" t="inlineStr">
        <is>
          <t>sem acesso</t>
        </is>
      </c>
      <c r="F64" s="7" t="n">
        <v>1794</v>
      </c>
      <c r="G64" s="27" t="inlineStr">
        <is>
          <t>—</t>
        </is>
      </c>
      <c r="H64" s="27" t="inlineStr">
        <is>
          <t>—</t>
        </is>
      </c>
      <c r="I64" s="28" t="inlineStr">
        <is>
          <t>—</t>
        </is>
      </c>
      <c r="J64" s="10" t="inlineStr">
        <is>
          <t>sem estrada até este talhão</t>
        </is>
      </c>
    </row>
    <row r="65">
      <c r="A65" s="4" t="inlineStr">
        <is>
          <t>R-12</t>
        </is>
      </c>
      <c r="B65" s="5" t="n">
        <v>16.99</v>
      </c>
      <c r="C65" s="6" t="n">
        <v>2254</v>
      </c>
      <c r="D65" s="26" t="inlineStr">
        <is>
          <t>sem acesso</t>
        </is>
      </c>
      <c r="E65" s="26" t="inlineStr">
        <is>
          <t>sem acesso</t>
        </is>
      </c>
      <c r="F65" s="7" t="n">
        <v>1819</v>
      </c>
      <c r="G65" s="27" t="inlineStr">
        <is>
          <t>—</t>
        </is>
      </c>
      <c r="H65" s="27" t="inlineStr">
        <is>
          <t>—</t>
        </is>
      </c>
      <c r="I65" s="28" t="inlineStr">
        <is>
          <t>—</t>
        </is>
      </c>
      <c r="J65" s="10" t="inlineStr">
        <is>
          <t>sem estrada até este talhão</t>
        </is>
      </c>
    </row>
    <row r="66">
      <c r="A66" s="4" t="inlineStr">
        <is>
          <t>R-13</t>
        </is>
      </c>
      <c r="B66" s="5" t="n">
        <v>109.08</v>
      </c>
      <c r="C66" s="6" t="n">
        <v>4750</v>
      </c>
      <c r="D66" s="26" t="inlineStr">
        <is>
          <t>sem acesso</t>
        </is>
      </c>
      <c r="E66" s="26" t="inlineStr">
        <is>
          <t>sem acesso</t>
        </is>
      </c>
      <c r="F66" s="7" t="n">
        <v>1817</v>
      </c>
      <c r="G66" s="27" t="inlineStr">
        <is>
          <t>—</t>
        </is>
      </c>
      <c r="H66" s="27" t="inlineStr">
        <is>
          <t>—</t>
        </is>
      </c>
      <c r="I66" s="28" t="inlineStr">
        <is>
          <t>—</t>
        </is>
      </c>
      <c r="J66" s="10" t="inlineStr">
        <is>
          <t>sem estrada até este talhão</t>
        </is>
      </c>
    </row>
    <row r="67">
      <c r="A67" s="4" t="inlineStr">
        <is>
          <t>R-14</t>
        </is>
      </c>
      <c r="B67" s="5" t="n">
        <v>312.08</v>
      </c>
      <c r="C67" s="6" t="n">
        <v>8167</v>
      </c>
      <c r="D67" s="26" t="inlineStr">
        <is>
          <t>sem acesso</t>
        </is>
      </c>
      <c r="E67" s="26" t="inlineStr">
        <is>
          <t>sem acesso</t>
        </is>
      </c>
      <c r="F67" s="7" t="n">
        <v>2990</v>
      </c>
      <c r="G67" s="27" t="inlineStr">
        <is>
          <t>—</t>
        </is>
      </c>
      <c r="H67" s="27" t="inlineStr">
        <is>
          <t>—</t>
        </is>
      </c>
      <c r="I67" s="28" t="inlineStr">
        <is>
          <t>—</t>
        </is>
      </c>
      <c r="J67" s="10" t="inlineStr">
        <is>
          <t>sem estrada até este talhão</t>
        </is>
      </c>
    </row>
    <row r="68">
      <c r="A68" s="4" t="inlineStr">
        <is>
          <t>R-15</t>
        </is>
      </c>
      <c r="B68" s="5" t="n">
        <v>110.4</v>
      </c>
      <c r="C68" s="6" t="n">
        <v>5184</v>
      </c>
      <c r="D68" s="26" t="inlineStr">
        <is>
          <t>sem acesso</t>
        </is>
      </c>
      <c r="E68" s="26" t="inlineStr">
        <is>
          <t>sem acesso</t>
        </is>
      </c>
      <c r="F68" s="7" t="n">
        <v>4447</v>
      </c>
      <c r="G68" s="27" t="inlineStr">
        <is>
          <t>—</t>
        </is>
      </c>
      <c r="H68" s="27" t="inlineStr">
        <is>
          <t>—</t>
        </is>
      </c>
      <c r="I68" s="28" t="inlineStr">
        <is>
          <t>—</t>
        </is>
      </c>
      <c r="J68" s="10" t="inlineStr">
        <is>
          <t>sem estrada até este talhão</t>
        </is>
      </c>
    </row>
    <row r="69">
      <c r="A69" s="4" t="inlineStr">
        <is>
          <t>R-16</t>
        </is>
      </c>
      <c r="B69" s="5" t="n">
        <v>91.39</v>
      </c>
      <c r="C69" s="6" t="n">
        <v>4209</v>
      </c>
      <c r="D69" s="26" t="inlineStr">
        <is>
          <t>sem acesso</t>
        </is>
      </c>
      <c r="E69" s="26" t="inlineStr">
        <is>
          <t>sem acesso</t>
        </is>
      </c>
      <c r="F69" s="7" t="n">
        <v>6096</v>
      </c>
      <c r="G69" s="27" t="inlineStr">
        <is>
          <t>—</t>
        </is>
      </c>
      <c r="H69" s="27" t="inlineStr">
        <is>
          <t>—</t>
        </is>
      </c>
      <c r="I69" s="28" t="inlineStr">
        <is>
          <t>—</t>
        </is>
      </c>
      <c r="J69" s="10" t="inlineStr">
        <is>
          <t>sem estrada até este talhão</t>
        </is>
      </c>
    </row>
    <row r="70">
      <c r="A70" s="4" t="inlineStr">
        <is>
          <t>R-17A</t>
        </is>
      </c>
      <c r="B70" s="5" t="n">
        <v>53.73</v>
      </c>
      <c r="C70" s="6" t="n">
        <v>3498</v>
      </c>
      <c r="D70" s="26" t="inlineStr">
        <is>
          <t>sem acesso</t>
        </is>
      </c>
      <c r="E70" s="26" t="inlineStr">
        <is>
          <t>sem acesso</t>
        </is>
      </c>
      <c r="F70" s="7" t="n">
        <v>8569</v>
      </c>
      <c r="G70" s="27" t="inlineStr">
        <is>
          <t>—</t>
        </is>
      </c>
      <c r="H70" s="27" t="inlineStr">
        <is>
          <t>—</t>
        </is>
      </c>
      <c r="I70" s="28" t="inlineStr">
        <is>
          <t>—</t>
        </is>
      </c>
      <c r="J70" s="10" t="inlineStr">
        <is>
          <t>sem estrada até este talhão</t>
        </is>
      </c>
    </row>
    <row r="71">
      <c r="A71" s="4" t="inlineStr">
        <is>
          <t>R-17B</t>
        </is>
      </c>
      <c r="B71" s="5" t="n">
        <v>37.21</v>
      </c>
      <c r="C71" s="6" t="n">
        <v>2593</v>
      </c>
      <c r="D71" s="26" t="inlineStr">
        <is>
          <t>sem acesso</t>
        </is>
      </c>
      <c r="E71" s="26" t="inlineStr">
        <is>
          <t>sem acesso</t>
        </is>
      </c>
      <c r="F71" s="7" t="n">
        <v>7608</v>
      </c>
      <c r="G71" s="27" t="inlineStr">
        <is>
          <t>—</t>
        </is>
      </c>
      <c r="H71" s="27" t="inlineStr">
        <is>
          <t>—</t>
        </is>
      </c>
      <c r="I71" s="28" t="inlineStr">
        <is>
          <t>—</t>
        </is>
      </c>
      <c r="J71" s="10" t="inlineStr">
        <is>
          <t>sem estrada até este talhão</t>
        </is>
      </c>
    </row>
    <row r="72">
      <c r="A72" s="4" t="inlineStr">
        <is>
          <t>R-18</t>
        </is>
      </c>
      <c r="B72" s="5" t="n">
        <v>153.23</v>
      </c>
      <c r="C72" s="6" t="n">
        <v>5829</v>
      </c>
      <c r="D72" s="26" t="inlineStr">
        <is>
          <t>sem acesso</t>
        </is>
      </c>
      <c r="E72" s="26" t="inlineStr">
        <is>
          <t>sem acesso</t>
        </is>
      </c>
      <c r="F72" s="7" t="n">
        <v>9272</v>
      </c>
      <c r="G72" s="27" t="inlineStr">
        <is>
          <t>—</t>
        </is>
      </c>
      <c r="H72" s="27" t="inlineStr">
        <is>
          <t>—</t>
        </is>
      </c>
      <c r="I72" s="28" t="inlineStr">
        <is>
          <t>—</t>
        </is>
      </c>
      <c r="J72" s="10" t="inlineStr">
        <is>
          <t>sem estrada até este talhão</t>
        </is>
      </c>
    </row>
    <row r="73">
      <c r="A73" s="4" t="inlineStr">
        <is>
          <t>R-19 20</t>
        </is>
      </c>
      <c r="B73" s="5" t="n">
        <v>247.22</v>
      </c>
      <c r="C73" s="6" t="n">
        <v>7477</v>
      </c>
      <c r="D73" s="26" t="inlineStr">
        <is>
          <t>sem acesso</t>
        </is>
      </c>
      <c r="E73" s="26" t="inlineStr">
        <is>
          <t>sem acesso</t>
        </is>
      </c>
      <c r="F73" s="7" t="n">
        <v>1751</v>
      </c>
      <c r="G73" s="27" t="inlineStr">
        <is>
          <t>—</t>
        </is>
      </c>
      <c r="H73" s="27" t="inlineStr">
        <is>
          <t>—</t>
        </is>
      </c>
      <c r="I73" s="28" t="inlineStr">
        <is>
          <t>—</t>
        </is>
      </c>
      <c r="J73" s="10" t="inlineStr">
        <is>
          <t>sem estrada até este talhão</t>
        </is>
      </c>
    </row>
    <row r="74">
      <c r="A74" s="4" t="inlineStr">
        <is>
          <t>R-19A</t>
        </is>
      </c>
      <c r="B74" s="5" t="n">
        <v>120.66</v>
      </c>
      <c r="C74" s="6" t="n">
        <v>4600</v>
      </c>
      <c r="D74" s="26" t="inlineStr">
        <is>
          <t>sem acesso</t>
        </is>
      </c>
      <c r="E74" s="26" t="inlineStr">
        <is>
          <t>sem acesso</t>
        </is>
      </c>
      <c r="F74" s="7" t="n">
        <v>5126</v>
      </c>
      <c r="G74" s="27" t="inlineStr">
        <is>
          <t>—</t>
        </is>
      </c>
      <c r="H74" s="27" t="inlineStr">
        <is>
          <t>—</t>
        </is>
      </c>
      <c r="I74" s="28" t="inlineStr">
        <is>
          <t>—</t>
        </is>
      </c>
      <c r="J74" s="10" t="inlineStr">
        <is>
          <t>sem estrada até este talhão</t>
        </is>
      </c>
    </row>
    <row r="75">
      <c r="A75" s="4" t="inlineStr">
        <is>
          <t>R-21</t>
        </is>
      </c>
      <c r="B75" s="5" t="n">
        <v>139.38</v>
      </c>
      <c r="C75" s="6" t="n">
        <v>6112</v>
      </c>
      <c r="D75" s="26" t="inlineStr">
        <is>
          <t>sem acesso</t>
        </is>
      </c>
      <c r="E75" s="26" t="inlineStr">
        <is>
          <t>sem acesso</t>
        </is>
      </c>
      <c r="F75" s="7" t="n">
        <v>3767</v>
      </c>
      <c r="G75" s="27" t="inlineStr">
        <is>
          <t>—</t>
        </is>
      </c>
      <c r="H75" s="27" t="inlineStr">
        <is>
          <t>—</t>
        </is>
      </c>
      <c r="I75" s="28" t="inlineStr">
        <is>
          <t>—</t>
        </is>
      </c>
      <c r="J75" s="10" t="inlineStr">
        <is>
          <t>sem estrada até este talhão</t>
        </is>
      </c>
    </row>
    <row r="76">
      <c r="A76" s="4" t="inlineStr">
        <is>
          <t>R-22</t>
        </is>
      </c>
      <c r="B76" s="5" t="n">
        <v>176.33</v>
      </c>
      <c r="C76" s="6" t="n">
        <v>5651</v>
      </c>
      <c r="D76" s="26" t="inlineStr">
        <is>
          <t>sem acesso</t>
        </is>
      </c>
      <c r="E76" s="26" t="inlineStr">
        <is>
          <t>sem acesso</t>
        </is>
      </c>
      <c r="F76" s="7" t="n">
        <v>5142</v>
      </c>
      <c r="G76" s="27" t="inlineStr">
        <is>
          <t>—</t>
        </is>
      </c>
      <c r="H76" s="27" t="inlineStr">
        <is>
          <t>—</t>
        </is>
      </c>
      <c r="I76" s="28" t="inlineStr">
        <is>
          <t>—</t>
        </is>
      </c>
      <c r="J76" s="10" t="inlineStr">
        <is>
          <t>sem estrada até este talhão</t>
        </is>
      </c>
    </row>
    <row r="77">
      <c r="A77" s="4" t="inlineStr">
        <is>
          <t>R-22A</t>
        </is>
      </c>
      <c r="B77" s="5" t="n">
        <v>43.93</v>
      </c>
      <c r="C77" s="6" t="n">
        <v>3465</v>
      </c>
      <c r="D77" s="26" t="inlineStr">
        <is>
          <t>sem acesso</t>
        </is>
      </c>
      <c r="E77" s="26" t="inlineStr">
        <is>
          <t>sem acesso</t>
        </is>
      </c>
      <c r="F77" s="7" t="n">
        <v>5178</v>
      </c>
      <c r="G77" s="27" t="inlineStr">
        <is>
          <t>—</t>
        </is>
      </c>
      <c r="H77" s="27" t="inlineStr">
        <is>
          <t>—</t>
        </is>
      </c>
      <c r="I77" s="28" t="inlineStr">
        <is>
          <t>—</t>
        </is>
      </c>
      <c r="J77" s="10" t="inlineStr">
        <is>
          <t>sem estrada até este talhão</t>
        </is>
      </c>
    </row>
    <row r="78">
      <c r="A78" s="4" t="inlineStr">
        <is>
          <t>R-23</t>
        </is>
      </c>
      <c r="B78" s="5" t="n">
        <v>127.02</v>
      </c>
      <c r="C78" s="6" t="n">
        <v>5903</v>
      </c>
      <c r="D78" s="26" t="inlineStr">
        <is>
          <t>sem acesso</t>
        </is>
      </c>
      <c r="E78" s="26" t="inlineStr">
        <is>
          <t>sem acesso</t>
        </is>
      </c>
      <c r="F78" s="7" t="n">
        <v>2368</v>
      </c>
      <c r="G78" s="27" t="inlineStr">
        <is>
          <t>—</t>
        </is>
      </c>
      <c r="H78" s="27" t="inlineStr">
        <is>
          <t>—</t>
        </is>
      </c>
      <c r="I78" s="28" t="inlineStr">
        <is>
          <t>—</t>
        </is>
      </c>
      <c r="J78" s="10" t="inlineStr">
        <is>
          <t>sem estrada até este talhão</t>
        </is>
      </c>
    </row>
    <row r="79">
      <c r="A79" s="4" t="inlineStr">
        <is>
          <t>R-24</t>
        </is>
      </c>
      <c r="B79" s="5" t="n">
        <v>93.05</v>
      </c>
      <c r="C79" s="6" t="n">
        <v>3926</v>
      </c>
      <c r="D79" s="26" t="inlineStr">
        <is>
          <t>sem acesso</t>
        </is>
      </c>
      <c r="E79" s="26" t="inlineStr">
        <is>
          <t>sem acesso</t>
        </is>
      </c>
      <c r="F79" s="7" t="n">
        <v>3198</v>
      </c>
      <c r="G79" s="27" t="inlineStr">
        <is>
          <t>—</t>
        </is>
      </c>
      <c r="H79" s="27" t="inlineStr">
        <is>
          <t>—</t>
        </is>
      </c>
      <c r="I79" s="28" t="inlineStr">
        <is>
          <t>—</t>
        </is>
      </c>
      <c r="J79" s="10" t="inlineStr">
        <is>
          <t>sem estrada até este talhão</t>
        </is>
      </c>
    </row>
    <row r="80">
      <c r="A80" s="4" t="inlineStr">
        <is>
          <t>R-25</t>
        </is>
      </c>
      <c r="B80" s="5" t="n">
        <v>209.08</v>
      </c>
      <c r="C80" s="6" t="n">
        <v>5759</v>
      </c>
      <c r="D80" s="26" t="inlineStr">
        <is>
          <t>sem acesso</t>
        </is>
      </c>
      <c r="E80" s="26" t="inlineStr">
        <is>
          <t>sem acesso</t>
        </is>
      </c>
      <c r="F80" s="7" t="n">
        <v>3630</v>
      </c>
      <c r="G80" s="27" t="inlineStr">
        <is>
          <t>—</t>
        </is>
      </c>
      <c r="H80" s="27" t="inlineStr">
        <is>
          <t>—</t>
        </is>
      </c>
      <c r="I80" s="28" t="inlineStr">
        <is>
          <t>—</t>
        </is>
      </c>
      <c r="J80" s="10" t="inlineStr">
        <is>
          <t>sem estrada até este talhão</t>
        </is>
      </c>
    </row>
    <row r="81">
      <c r="A81" s="4" t="inlineStr">
        <is>
          <t>R-26</t>
        </is>
      </c>
      <c r="B81" s="5" t="n">
        <v>246.77</v>
      </c>
      <c r="C81" s="6" t="n">
        <v>6525</v>
      </c>
      <c r="D81" s="26" t="inlineStr">
        <is>
          <t>sem acesso</t>
        </is>
      </c>
      <c r="E81" s="26" t="inlineStr">
        <is>
          <t>sem acesso</t>
        </is>
      </c>
      <c r="F81" s="7" t="n">
        <v>5164</v>
      </c>
      <c r="G81" s="27" t="inlineStr">
        <is>
          <t>—</t>
        </is>
      </c>
      <c r="H81" s="27" t="inlineStr">
        <is>
          <t>—</t>
        </is>
      </c>
      <c r="I81" s="28" t="inlineStr">
        <is>
          <t>—</t>
        </is>
      </c>
      <c r="J81" s="10" t="inlineStr">
        <is>
          <t>sem estrada até este talhão</t>
        </is>
      </c>
    </row>
    <row r="82">
      <c r="A82" s="4" t="inlineStr">
        <is>
          <t>R-27</t>
        </is>
      </c>
      <c r="B82" s="5" t="n">
        <v>96.41</v>
      </c>
      <c r="C82" s="6" t="n">
        <v>4397</v>
      </c>
      <c r="D82" s="26" t="inlineStr">
        <is>
          <t>sem acesso</t>
        </is>
      </c>
      <c r="E82" s="26" t="inlineStr">
        <is>
          <t>sem acesso</t>
        </is>
      </c>
      <c r="F82" s="7" t="n">
        <v>2762</v>
      </c>
      <c r="G82" s="27" t="inlineStr">
        <is>
          <t>—</t>
        </is>
      </c>
      <c r="H82" s="27" t="inlineStr">
        <is>
          <t>—</t>
        </is>
      </c>
      <c r="I82" s="28" t="inlineStr">
        <is>
          <t>—</t>
        </is>
      </c>
      <c r="J82" s="10" t="inlineStr">
        <is>
          <t>sem estrada até este talhão</t>
        </is>
      </c>
    </row>
    <row r="83">
      <c r="A83" s="4" t="inlineStr">
        <is>
          <t>R-28</t>
        </is>
      </c>
      <c r="B83" s="5" t="n">
        <v>112.41</v>
      </c>
      <c r="C83" s="6" t="n">
        <v>4665</v>
      </c>
      <c r="D83" s="26" t="inlineStr">
        <is>
          <t>sem acesso</t>
        </is>
      </c>
      <c r="E83" s="26" t="inlineStr">
        <is>
          <t>sem acesso</t>
        </is>
      </c>
      <c r="F83" s="7" t="n">
        <v>3318</v>
      </c>
      <c r="G83" s="27" t="inlineStr">
        <is>
          <t>—</t>
        </is>
      </c>
      <c r="H83" s="27" t="inlineStr">
        <is>
          <t>—</t>
        </is>
      </c>
      <c r="I83" s="28" t="inlineStr">
        <is>
          <t>—</t>
        </is>
      </c>
      <c r="J83" s="10" t="inlineStr">
        <is>
          <t>sem estrada até este talhão</t>
        </is>
      </c>
    </row>
    <row r="84">
      <c r="A84" s="4" t="inlineStr">
        <is>
          <t>R-29</t>
        </is>
      </c>
      <c r="B84" s="5" t="n">
        <v>32.04</v>
      </c>
      <c r="C84" s="6" t="n">
        <v>2762</v>
      </c>
      <c r="D84" s="26" t="inlineStr">
        <is>
          <t>sem acesso</t>
        </is>
      </c>
      <c r="E84" s="26" t="inlineStr">
        <is>
          <t>sem acesso</t>
        </is>
      </c>
      <c r="F84" s="7" t="n">
        <v>3935</v>
      </c>
      <c r="G84" s="27" t="inlineStr">
        <is>
          <t>—</t>
        </is>
      </c>
      <c r="H84" s="27" t="inlineStr">
        <is>
          <t>—</t>
        </is>
      </c>
      <c r="I84" s="28" t="inlineStr">
        <is>
          <t>—</t>
        </is>
      </c>
      <c r="J84" s="10" t="inlineStr">
        <is>
          <t>sem estrada até este talhão</t>
        </is>
      </c>
    </row>
    <row r="85">
      <c r="A85" s="4" t="inlineStr">
        <is>
          <t>R-30</t>
        </is>
      </c>
      <c r="B85" s="5" t="n">
        <v>79.15000000000001</v>
      </c>
      <c r="C85" s="6" t="n">
        <v>4180</v>
      </c>
      <c r="D85" s="26" t="inlineStr">
        <is>
          <t>sem acesso</t>
        </is>
      </c>
      <c r="E85" s="26" t="inlineStr">
        <is>
          <t>sem acesso</t>
        </is>
      </c>
      <c r="F85" s="7" t="n">
        <v>4408</v>
      </c>
      <c r="G85" s="27" t="inlineStr">
        <is>
          <t>—</t>
        </is>
      </c>
      <c r="H85" s="27" t="inlineStr">
        <is>
          <t>—</t>
        </is>
      </c>
      <c r="I85" s="28" t="inlineStr">
        <is>
          <t>—</t>
        </is>
      </c>
      <c r="J85" s="10" t="inlineStr">
        <is>
          <t>sem estrada até este talhão</t>
        </is>
      </c>
    </row>
    <row r="86">
      <c r="A86" s="4" t="inlineStr">
        <is>
          <t>R-31</t>
        </is>
      </c>
      <c r="B86" s="5" t="n">
        <v>60.78</v>
      </c>
      <c r="C86" s="6" t="n">
        <v>4221</v>
      </c>
      <c r="D86" s="26" t="inlineStr">
        <is>
          <t>sem acesso</t>
        </is>
      </c>
      <c r="E86" s="26" t="inlineStr">
        <is>
          <t>sem acesso</t>
        </is>
      </c>
      <c r="F86" s="7" t="n">
        <v>4970</v>
      </c>
      <c r="G86" s="27" t="inlineStr">
        <is>
          <t>—</t>
        </is>
      </c>
      <c r="H86" s="27" t="inlineStr">
        <is>
          <t>—</t>
        </is>
      </c>
      <c r="I86" s="28" t="inlineStr">
        <is>
          <t>—</t>
        </is>
      </c>
      <c r="J86" s="10" t="inlineStr">
        <is>
          <t>sem estrada até este talhão</t>
        </is>
      </c>
    </row>
    <row r="87">
      <c r="A87" s="4" t="inlineStr">
        <is>
          <t>R-32</t>
        </is>
      </c>
      <c r="B87" s="5" t="n">
        <v>69.05</v>
      </c>
      <c r="C87" s="6" t="n">
        <v>3569</v>
      </c>
      <c r="D87" s="26" t="inlineStr">
        <is>
          <t>sem acesso</t>
        </is>
      </c>
      <c r="E87" s="26" t="inlineStr">
        <is>
          <t>sem acesso</t>
        </is>
      </c>
      <c r="F87" s="7" t="n">
        <v>5170</v>
      </c>
      <c r="G87" s="27" t="inlineStr">
        <is>
          <t>—</t>
        </is>
      </c>
      <c r="H87" s="27" t="inlineStr">
        <is>
          <t>—</t>
        </is>
      </c>
      <c r="I87" s="28" t="inlineStr">
        <is>
          <t>—</t>
        </is>
      </c>
      <c r="J87" s="10" t="inlineStr">
        <is>
          <t>sem estrada até este talhão</t>
        </is>
      </c>
    </row>
    <row r="88">
      <c r="A88" s="4" t="inlineStr">
        <is>
          <t>R-33</t>
        </is>
      </c>
      <c r="B88" s="5" t="n">
        <v>80.05</v>
      </c>
      <c r="C88" s="6" t="n">
        <v>4985</v>
      </c>
      <c r="D88" s="26" t="inlineStr">
        <is>
          <t>sem acesso</t>
        </is>
      </c>
      <c r="E88" s="26" t="inlineStr">
        <is>
          <t>sem acesso</t>
        </is>
      </c>
      <c r="F88" s="7" t="n">
        <v>5847</v>
      </c>
      <c r="G88" s="27" t="inlineStr">
        <is>
          <t>—</t>
        </is>
      </c>
      <c r="H88" s="27" t="inlineStr">
        <is>
          <t>—</t>
        </is>
      </c>
      <c r="I88" s="28" t="inlineStr">
        <is>
          <t>—</t>
        </is>
      </c>
      <c r="J88" s="10" t="inlineStr">
        <is>
          <t>sem estrada até este talhão</t>
        </is>
      </c>
    </row>
    <row r="89">
      <c r="A89" s="4" t="inlineStr">
        <is>
          <t>R-34</t>
        </is>
      </c>
      <c r="B89" s="5" t="n">
        <v>48.41</v>
      </c>
      <c r="C89" s="6" t="n">
        <v>2741</v>
      </c>
      <c r="D89" s="26" t="inlineStr">
        <is>
          <t>sem acesso</t>
        </is>
      </c>
      <c r="E89" s="26" t="inlineStr">
        <is>
          <t>sem acesso</t>
        </is>
      </c>
      <c r="F89" s="7" t="n">
        <v>6276</v>
      </c>
      <c r="G89" s="27" t="inlineStr">
        <is>
          <t>—</t>
        </is>
      </c>
      <c r="H89" s="27" t="inlineStr">
        <is>
          <t>—</t>
        </is>
      </c>
      <c r="I89" s="28" t="inlineStr">
        <is>
          <t>—</t>
        </is>
      </c>
      <c r="J89" s="10" t="inlineStr">
        <is>
          <t>sem estrada até este talhão</t>
        </is>
      </c>
    </row>
    <row r="90">
      <c r="A90" s="4" t="inlineStr">
        <is>
          <t>R-34A</t>
        </is>
      </c>
      <c r="B90" s="5" t="n">
        <v>45.19</v>
      </c>
      <c r="C90" s="6" t="n">
        <v>2949</v>
      </c>
      <c r="D90" s="26" t="inlineStr">
        <is>
          <t>sem acesso</t>
        </is>
      </c>
      <c r="E90" s="26" t="inlineStr">
        <is>
          <t>sem acesso</t>
        </is>
      </c>
      <c r="F90" s="7" t="n">
        <v>6598</v>
      </c>
      <c r="G90" s="27" t="inlineStr">
        <is>
          <t>—</t>
        </is>
      </c>
      <c r="H90" s="27" t="inlineStr">
        <is>
          <t>—</t>
        </is>
      </c>
      <c r="I90" s="28" t="inlineStr">
        <is>
          <t>—</t>
        </is>
      </c>
      <c r="J90" s="10" t="inlineStr">
        <is>
          <t>sem estrada até este talhão</t>
        </is>
      </c>
    </row>
    <row r="91">
      <c r="A91" s="4" t="inlineStr">
        <is>
          <t>R-35</t>
        </is>
      </c>
      <c r="B91" s="5" t="n">
        <v>96.41</v>
      </c>
      <c r="C91" s="6" t="n">
        <v>4554</v>
      </c>
      <c r="D91" s="26" t="inlineStr">
        <is>
          <t>sem acesso</t>
        </is>
      </c>
      <c r="E91" s="26" t="inlineStr">
        <is>
          <t>sem acesso</t>
        </is>
      </c>
      <c r="F91" s="7" t="n">
        <v>6968</v>
      </c>
      <c r="G91" s="27" t="inlineStr">
        <is>
          <t>—</t>
        </is>
      </c>
      <c r="H91" s="27" t="inlineStr">
        <is>
          <t>—</t>
        </is>
      </c>
      <c r="I91" s="28" t="inlineStr">
        <is>
          <t>—</t>
        </is>
      </c>
      <c r="J91" s="10" t="inlineStr">
        <is>
          <t>sem estrada até este talhão</t>
        </is>
      </c>
    </row>
    <row r="92">
      <c r="A92" s="4" t="inlineStr">
        <is>
          <t>R-36</t>
        </is>
      </c>
      <c r="B92" s="5" t="n">
        <v>101.05</v>
      </c>
      <c r="C92" s="6" t="n">
        <v>4269</v>
      </c>
      <c r="D92" s="26" t="inlineStr">
        <is>
          <t>sem acesso</t>
        </is>
      </c>
      <c r="E92" s="26" t="inlineStr">
        <is>
          <t>sem acesso</t>
        </is>
      </c>
      <c r="F92" s="7" t="n">
        <v>6867</v>
      </c>
      <c r="G92" s="27" t="inlineStr">
        <is>
          <t>—</t>
        </is>
      </c>
      <c r="H92" s="27" t="inlineStr">
        <is>
          <t>—</t>
        </is>
      </c>
      <c r="I92" s="28" t="inlineStr">
        <is>
          <t>—</t>
        </is>
      </c>
      <c r="J92" s="10" t="inlineStr">
        <is>
          <t>sem estrada até este talhão</t>
        </is>
      </c>
    </row>
    <row r="93">
      <c r="A93" s="4" t="inlineStr">
        <is>
          <t>R-37</t>
        </is>
      </c>
      <c r="B93" s="5" t="n">
        <v>74.59</v>
      </c>
      <c r="C93" s="6" t="n">
        <v>3596</v>
      </c>
      <c r="D93" s="26" t="inlineStr">
        <is>
          <t>sem acesso</t>
        </is>
      </c>
      <c r="E93" s="26" t="inlineStr">
        <is>
          <t>sem acesso</t>
        </is>
      </c>
      <c r="F93" s="7" t="n">
        <v>7374</v>
      </c>
      <c r="G93" s="27" t="inlineStr">
        <is>
          <t>—</t>
        </is>
      </c>
      <c r="H93" s="27" t="inlineStr">
        <is>
          <t>—</t>
        </is>
      </c>
      <c r="I93" s="28" t="inlineStr">
        <is>
          <t>—</t>
        </is>
      </c>
      <c r="J93" s="10" t="inlineStr">
        <is>
          <t>sem estrada até este talhão</t>
        </is>
      </c>
    </row>
    <row r="94">
      <c r="A94" s="4" t="inlineStr">
        <is>
          <t>R-40</t>
        </is>
      </c>
      <c r="B94" s="5" t="n">
        <v>86.20999999999999</v>
      </c>
      <c r="C94" s="6" t="n">
        <v>5979</v>
      </c>
      <c r="D94" s="26" t="inlineStr">
        <is>
          <t>sem acesso</t>
        </is>
      </c>
      <c r="E94" s="26" t="inlineStr">
        <is>
          <t>sem acesso</t>
        </is>
      </c>
      <c r="F94" s="7" t="n">
        <v>6802</v>
      </c>
      <c r="G94" s="27" t="inlineStr">
        <is>
          <t>—</t>
        </is>
      </c>
      <c r="H94" s="27" t="inlineStr">
        <is>
          <t>—</t>
        </is>
      </c>
      <c r="I94" s="28" t="inlineStr">
        <is>
          <t>—</t>
        </is>
      </c>
      <c r="J94" s="10" t="inlineStr">
        <is>
          <t>sem estrada até este talhão</t>
        </is>
      </c>
    </row>
    <row r="95">
      <c r="A95" s="4" t="inlineStr">
        <is>
          <t>R-41</t>
        </is>
      </c>
      <c r="B95" s="5" t="n">
        <v>176.39</v>
      </c>
      <c r="C95" s="6" t="n">
        <v>5505</v>
      </c>
      <c r="D95" s="26" t="inlineStr">
        <is>
          <t>sem acesso</t>
        </is>
      </c>
      <c r="E95" s="26" t="inlineStr">
        <is>
          <t>sem acesso</t>
        </is>
      </c>
      <c r="F95" s="7" t="n">
        <v>8188</v>
      </c>
      <c r="G95" s="27" t="inlineStr">
        <is>
          <t>—</t>
        </is>
      </c>
      <c r="H95" s="27" t="inlineStr">
        <is>
          <t>—</t>
        </is>
      </c>
      <c r="I95" s="28" t="inlineStr">
        <is>
          <t>—</t>
        </is>
      </c>
      <c r="J95" s="10" t="inlineStr">
        <is>
          <t>sem estrada até este talhão</t>
        </is>
      </c>
    </row>
    <row r="96">
      <c r="A96" s="4" t="inlineStr">
        <is>
          <t>R-42</t>
        </is>
      </c>
      <c r="B96" s="5" t="n">
        <v>89.23</v>
      </c>
      <c r="C96" s="6" t="n">
        <v>4478</v>
      </c>
      <c r="D96" s="26" t="inlineStr">
        <is>
          <t>sem acesso</t>
        </is>
      </c>
      <c r="E96" s="26" t="inlineStr">
        <is>
          <t>sem acesso</t>
        </is>
      </c>
      <c r="F96" s="7" t="n">
        <v>9491</v>
      </c>
      <c r="G96" s="27" t="inlineStr">
        <is>
          <t>—</t>
        </is>
      </c>
      <c r="H96" s="27" t="inlineStr">
        <is>
          <t>—</t>
        </is>
      </c>
      <c r="I96" s="28" t="inlineStr">
        <is>
          <t>—</t>
        </is>
      </c>
      <c r="J96" s="10" t="inlineStr">
        <is>
          <t>sem estrada até este talhão</t>
        </is>
      </c>
    </row>
    <row r="97">
      <c r="A97" s="4" t="inlineStr">
        <is>
          <t>R-42A</t>
        </is>
      </c>
      <c r="B97" s="5" t="n">
        <v>126.64</v>
      </c>
      <c r="C97" s="6" t="n">
        <v>5111</v>
      </c>
      <c r="D97" s="26" t="inlineStr">
        <is>
          <t>sem acesso</t>
        </is>
      </c>
      <c r="E97" s="26" t="inlineStr">
        <is>
          <t>sem acesso</t>
        </is>
      </c>
      <c r="F97" s="7" t="n">
        <v>10088</v>
      </c>
      <c r="G97" s="27" t="inlineStr">
        <is>
          <t>—</t>
        </is>
      </c>
      <c r="H97" s="27" t="inlineStr">
        <is>
          <t>—</t>
        </is>
      </c>
      <c r="I97" s="28" t="inlineStr">
        <is>
          <t>—</t>
        </is>
      </c>
      <c r="J97" s="10" t="inlineStr">
        <is>
          <t>sem estrada até este talhão</t>
        </is>
      </c>
    </row>
    <row r="98">
      <c r="A98" s="4" t="inlineStr">
        <is>
          <t>R-43</t>
        </is>
      </c>
      <c r="B98" s="5" t="n">
        <v>78.33</v>
      </c>
      <c r="C98" s="6" t="n">
        <v>5069</v>
      </c>
      <c r="D98" s="26" t="inlineStr">
        <is>
          <t>sem acesso</t>
        </is>
      </c>
      <c r="E98" s="26" t="inlineStr">
        <is>
          <t>sem acesso</t>
        </is>
      </c>
      <c r="F98" s="7" t="n">
        <v>7908</v>
      </c>
      <c r="G98" s="27" t="inlineStr">
        <is>
          <t>—</t>
        </is>
      </c>
      <c r="H98" s="27" t="inlineStr">
        <is>
          <t>—</t>
        </is>
      </c>
      <c r="I98" s="28" t="inlineStr">
        <is>
          <t>—</t>
        </is>
      </c>
      <c r="J98" s="10" t="inlineStr">
        <is>
          <t>sem estrada até este talhão</t>
        </is>
      </c>
    </row>
    <row r="99">
      <c r="A99" s="4" t="inlineStr">
        <is>
          <t>R-44</t>
        </is>
      </c>
      <c r="B99" s="5" t="n">
        <v>80.59999999999999</v>
      </c>
      <c r="C99" s="6" t="n">
        <v>5657</v>
      </c>
      <c r="D99" s="26" t="inlineStr">
        <is>
          <t>sem acesso</t>
        </is>
      </c>
      <c r="E99" s="26" t="inlineStr">
        <is>
          <t>sem acesso</t>
        </is>
      </c>
      <c r="F99" s="7" t="n">
        <v>8590</v>
      </c>
      <c r="G99" s="27" t="inlineStr">
        <is>
          <t>—</t>
        </is>
      </c>
      <c r="H99" s="27" t="inlineStr">
        <is>
          <t>—</t>
        </is>
      </c>
      <c r="I99" s="28" t="inlineStr">
        <is>
          <t>—</t>
        </is>
      </c>
      <c r="J99" s="10" t="inlineStr">
        <is>
          <t>sem estrada até este talhão</t>
        </is>
      </c>
    </row>
    <row r="100">
      <c r="A100" s="4" t="inlineStr">
        <is>
          <t>R-45</t>
        </is>
      </c>
      <c r="B100" s="5" t="n">
        <v>136.09</v>
      </c>
      <c r="C100" s="6" t="n">
        <v>5014</v>
      </c>
      <c r="D100" s="26" t="inlineStr">
        <is>
          <t>sem acesso</t>
        </is>
      </c>
      <c r="E100" s="26" t="inlineStr">
        <is>
          <t>sem acesso</t>
        </is>
      </c>
      <c r="F100" s="7" t="n">
        <v>9246</v>
      </c>
      <c r="G100" s="27" t="inlineStr">
        <is>
          <t>—</t>
        </is>
      </c>
      <c r="H100" s="27" t="inlineStr">
        <is>
          <t>—</t>
        </is>
      </c>
      <c r="I100" s="28" t="inlineStr">
        <is>
          <t>—</t>
        </is>
      </c>
      <c r="J100" s="10" t="inlineStr">
        <is>
          <t>sem estrada até este talhão</t>
        </is>
      </c>
    </row>
    <row r="101">
      <c r="A101" s="4" t="inlineStr">
        <is>
          <t>R-45A</t>
        </is>
      </c>
      <c r="B101" s="5" t="n">
        <v>50.57</v>
      </c>
      <c r="C101" s="6" t="n">
        <v>3913</v>
      </c>
      <c r="D101" s="26" t="inlineStr">
        <is>
          <t>sem acesso</t>
        </is>
      </c>
      <c r="E101" s="26" t="inlineStr">
        <is>
          <t>sem acesso</t>
        </is>
      </c>
      <c r="F101" s="7" t="n">
        <v>5528</v>
      </c>
      <c r="G101" s="27" t="inlineStr">
        <is>
          <t>—</t>
        </is>
      </c>
      <c r="H101" s="27" t="inlineStr">
        <is>
          <t>—</t>
        </is>
      </c>
      <c r="I101" s="28" t="inlineStr">
        <is>
          <t>—</t>
        </is>
      </c>
      <c r="J101" s="10" t="inlineStr">
        <is>
          <t>sem estrada até este talhão</t>
        </is>
      </c>
    </row>
    <row r="102">
      <c r="A102" s="4" t="inlineStr">
        <is>
          <t>R-46</t>
        </is>
      </c>
      <c r="B102" s="5" t="n">
        <v>94.06999999999999</v>
      </c>
      <c r="C102" s="6" t="n">
        <v>4113</v>
      </c>
      <c r="D102" s="26" t="inlineStr">
        <is>
          <t>sem acesso</t>
        </is>
      </c>
      <c r="E102" s="26" t="inlineStr">
        <is>
          <t>sem acesso</t>
        </is>
      </c>
      <c r="F102" s="7" t="n">
        <v>10302</v>
      </c>
      <c r="G102" s="27" t="inlineStr">
        <is>
          <t>—</t>
        </is>
      </c>
      <c r="H102" s="27" t="inlineStr">
        <is>
          <t>—</t>
        </is>
      </c>
      <c r="I102" s="28" t="inlineStr">
        <is>
          <t>—</t>
        </is>
      </c>
      <c r="J102" s="10" t="inlineStr">
        <is>
          <t>sem estrada até este talhão</t>
        </is>
      </c>
    </row>
    <row r="103">
      <c r="A103" s="4" t="inlineStr">
        <is>
          <t>R-46A</t>
        </is>
      </c>
      <c r="B103" s="5" t="n">
        <v>53.75</v>
      </c>
      <c r="C103" s="6" t="n">
        <v>2912</v>
      </c>
      <c r="D103" s="26" t="inlineStr">
        <is>
          <t>sem acesso</t>
        </is>
      </c>
      <c r="E103" s="26" t="inlineStr">
        <is>
          <t>sem acesso</t>
        </is>
      </c>
      <c r="F103" s="7" t="n">
        <v>10887</v>
      </c>
      <c r="G103" s="27" t="inlineStr">
        <is>
          <t>—</t>
        </is>
      </c>
      <c r="H103" s="27" t="inlineStr">
        <is>
          <t>—</t>
        </is>
      </c>
      <c r="I103" s="28" t="inlineStr">
        <is>
          <t>—</t>
        </is>
      </c>
      <c r="J103" s="10" t="inlineStr">
        <is>
          <t>sem estrada até este talhão</t>
        </is>
      </c>
    </row>
    <row r="104">
      <c r="A104" s="4" t="inlineStr">
        <is>
          <t>R-46B</t>
        </is>
      </c>
      <c r="B104" s="5" t="n">
        <v>43.82</v>
      </c>
      <c r="C104" s="6" t="n">
        <v>2753</v>
      </c>
      <c r="D104" s="26" t="inlineStr">
        <is>
          <t>sem acesso</t>
        </is>
      </c>
      <c r="E104" s="26" t="inlineStr">
        <is>
          <t>sem acesso</t>
        </is>
      </c>
      <c r="F104" s="7" t="n">
        <v>10975</v>
      </c>
      <c r="G104" s="27" t="inlineStr">
        <is>
          <t>—</t>
        </is>
      </c>
      <c r="H104" s="27" t="inlineStr">
        <is>
          <t>—</t>
        </is>
      </c>
      <c r="I104" s="28" t="inlineStr">
        <is>
          <t>—</t>
        </is>
      </c>
      <c r="J104" s="10" t="inlineStr">
        <is>
          <t>sem estrada até este talhão</t>
        </is>
      </c>
    </row>
    <row r="105">
      <c r="A105" s="4" t="inlineStr">
        <is>
          <t>R-47</t>
        </is>
      </c>
      <c r="B105" s="5" t="n">
        <v>102.6</v>
      </c>
      <c r="C105" s="6" t="n">
        <v>4825</v>
      </c>
      <c r="D105" s="26" t="inlineStr">
        <is>
          <t>sem acesso</t>
        </is>
      </c>
      <c r="E105" s="26" t="inlineStr">
        <is>
          <t>sem acesso</t>
        </is>
      </c>
      <c r="F105" s="7" t="n">
        <v>9340</v>
      </c>
      <c r="G105" s="27" t="inlineStr">
        <is>
          <t>—</t>
        </is>
      </c>
      <c r="H105" s="27" t="inlineStr">
        <is>
          <t>—</t>
        </is>
      </c>
      <c r="I105" s="28" t="inlineStr">
        <is>
          <t>—</t>
        </is>
      </c>
      <c r="J105" s="10" t="inlineStr">
        <is>
          <t>sem estrada até este talhão</t>
        </is>
      </c>
    </row>
    <row r="106">
      <c r="A106" s="4" t="inlineStr">
        <is>
          <t>R-48</t>
        </is>
      </c>
      <c r="B106" s="5" t="n">
        <v>34.1</v>
      </c>
      <c r="C106" s="6" t="n">
        <v>2974</v>
      </c>
      <c r="D106" s="26" t="inlineStr">
        <is>
          <t>sem acesso</t>
        </is>
      </c>
      <c r="E106" s="26" t="inlineStr">
        <is>
          <t>sem acesso</t>
        </is>
      </c>
      <c r="F106" s="7" t="n">
        <v>10498</v>
      </c>
      <c r="G106" s="27" t="inlineStr">
        <is>
          <t>—</t>
        </is>
      </c>
      <c r="H106" s="27" t="inlineStr">
        <is>
          <t>—</t>
        </is>
      </c>
      <c r="I106" s="28" t="inlineStr">
        <is>
          <t>—</t>
        </is>
      </c>
      <c r="J106" s="10" t="inlineStr">
        <is>
          <t>sem estrada até este talhão</t>
        </is>
      </c>
    </row>
    <row r="107">
      <c r="A107" s="4" t="inlineStr">
        <is>
          <t>T-CONF</t>
        </is>
      </c>
      <c r="B107" s="5" t="n">
        <v>0.21</v>
      </c>
      <c r="C107" s="6" t="n">
        <v>206</v>
      </c>
      <c r="D107" s="26" t="inlineStr">
        <is>
          <t>sem acesso</t>
        </is>
      </c>
      <c r="E107" s="26" t="inlineStr">
        <is>
          <t>sem acesso</t>
        </is>
      </c>
      <c r="F107" s="7" t="n">
        <v>9173</v>
      </c>
      <c r="G107" s="27" t="inlineStr">
        <is>
          <t>—</t>
        </is>
      </c>
      <c r="H107" s="27" t="inlineStr">
        <is>
          <t>—</t>
        </is>
      </c>
      <c r="I107" s="28" t="inlineStr">
        <is>
          <t>—</t>
        </is>
      </c>
      <c r="J107" s="10" t="inlineStr">
        <is>
          <t>sem estrada até este talhão</t>
        </is>
      </c>
    </row>
    <row r="109">
      <c r="A109" s="29" t="inlineStr">
        <is>
          <t>TOTAL / MÁXIMO</t>
        </is>
      </c>
      <c r="B109" s="30">
        <f>SUM(B5:B107)</f>
        <v/>
      </c>
      <c r="D109" s="31">
        <f>MAX(IFERROR(D5:D107*1,0))</f>
        <v/>
      </c>
      <c r="G109" s="32">
        <f>IFERROR(MAX(G5:G107),"")</f>
        <v/>
      </c>
      <c r="I109" s="33">
        <f>IFERROR(AVERAGE(I5:I107),"")</f>
        <v/>
      </c>
    </row>
    <row r="110">
      <c r="A110" s="34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5" t="inlineStr">
        <is>
          <t>Como estes números foram calculados</t>
        </is>
      </c>
    </row>
    <row r="3" ht="30" customHeight="1">
      <c r="A3" s="36" t="inlineStr">
        <is>
          <t>Origem</t>
        </is>
      </c>
      <c r="B3" s="37" t="inlineStr">
        <is>
          <t>Ponto de sede do projeto do Google Earth (-15.308293, -54.597033).</t>
        </is>
      </c>
    </row>
    <row r="4" ht="30" customHeight="1">
      <c r="A4" s="36" t="inlineStr">
        <is>
          <t>Talhões</t>
        </is>
      </c>
      <c r="B4" s="37" t="inlineStr">
        <is>
          <t>103 polígonos da pasta FAZENDA GALHEIRO.</t>
        </is>
      </c>
    </row>
    <row r="5" ht="30" customHeight="1">
      <c r="A5" s="36" t="inlineStr">
        <is>
          <t>Malha de estradas</t>
        </is>
      </c>
      <c r="B5" s="37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6" t="inlineStr">
        <is>
          <t>Dist. máxima</t>
        </is>
      </c>
      <c r="B6" s="37" t="inlineStr">
        <is>
          <t>Menor caminho pela estrada, da sede até o ponto MAIS EXTREMO do perímetro do talhão. Não corta por dentro da lavoura.</t>
        </is>
      </c>
    </row>
    <row r="7" ht="30" customHeight="1">
      <c r="A7" s="36" t="inlineStr">
        <is>
          <t>Dist. mínima</t>
        </is>
      </c>
      <c r="B7" s="37" t="inlineStr">
        <is>
          <t>Menor caminho pela estrada, da sede até o ponto de acesso mais próximo.</t>
        </is>
      </c>
    </row>
    <row r="8" ht="30" customHeight="1">
      <c r="A8" s="36" t="inlineStr">
        <is>
          <t>Linha reta</t>
        </is>
      </c>
      <c r="B8" s="37" t="inlineStr">
        <is>
          <t>Distância em linha reta da sede até a borda do talhão. Só referência.</t>
        </is>
      </c>
    </row>
    <row r="9" ht="30" customHeight="1">
      <c r="A9" s="36" t="inlineStr">
        <is>
          <t>Fator</t>
        </is>
      </c>
      <c r="B9" s="37" t="inlineStr">
        <is>
          <t>Dist. máxima ÷ linha reta. Fator alto = rota indireta, ou estrada faltando na malha.</t>
        </is>
      </c>
    </row>
    <row r="10" ht="30" customHeight="1">
      <c r="A10" s="36" t="inlineStr">
        <is>
          <t>Coordenadas</t>
        </is>
      </c>
      <c r="B10" s="37" t="inlineStr">
        <is>
          <t>SIRGAS 2000 / UTM 21S (EPSG:31981) para distâncias e áreas.</t>
        </is>
      </c>
    </row>
    <row r="11" ht="30" customHeight="1">
      <c r="A11" s="36" t="inlineStr">
        <is>
          <t>Resolução</t>
        </is>
      </c>
      <c r="B11" s="37" t="inlineStr">
        <is>
          <t>Malha densificada a cada 25 m — é a precisão do 'ponto mais extremo'.</t>
        </is>
      </c>
    </row>
    <row r="12" ht="30" customHeight="1">
      <c r="A12" s="36" t="inlineStr">
        <is>
          <t>Validação</t>
        </is>
      </c>
      <c r="B12" s="37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2026-09-14T13:59:30Z</dcterms:created>
  <dcterms:modified xmlns:dcterms="http://purl.org/dc/terms/" xmlns:xsi="http://www.w3.org/2001/XMLSchema-instance" xsi:type="dcterms:W3CDTF">2026-09-14T13:59:30Z</dcterms:modified>
</cp:coreProperties>
</file>