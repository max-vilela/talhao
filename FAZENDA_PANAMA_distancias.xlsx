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laragon\www\talhao\"/>
    </mc:Choice>
  </mc:AlternateContent>
  <xr:revisionPtr revIDLastSave="0" documentId="13_ncr:1_{F33D7380-C115-40C7-98D8-83AA7F4D1033}" xr6:coauthVersionLast="47" xr6:coauthVersionMax="47" xr10:uidLastSave="{00000000-0000-0000-0000-000000000000}"/>
  <bookViews>
    <workbookView xWindow="34755" yWindow="2610" windowWidth="17625" windowHeight="12240" xr2:uid="{00000000-000D-0000-FFFF-FFFF00000000}"/>
  </bookViews>
  <sheets>
    <sheet name="Distâncias" sheetId="1" r:id="rId1"/>
    <sheet name="Premissa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0" i="1" l="1"/>
  <c r="B30" i="1"/>
  <c r="I28" i="1"/>
  <c r="H28" i="1"/>
  <c r="G28" i="1"/>
  <c r="I27" i="1"/>
  <c r="H27" i="1"/>
  <c r="G27" i="1"/>
  <c r="I26" i="1"/>
  <c r="H26" i="1"/>
  <c r="G26" i="1"/>
  <c r="I25" i="1"/>
  <c r="H25" i="1"/>
  <c r="G25" i="1"/>
  <c r="I24" i="1"/>
  <c r="H24" i="1"/>
  <c r="G24" i="1"/>
  <c r="I23" i="1"/>
  <c r="H23" i="1"/>
  <c r="G23" i="1"/>
  <c r="I22" i="1"/>
  <c r="H22" i="1"/>
  <c r="G22" i="1"/>
  <c r="I21" i="1"/>
  <c r="H21" i="1"/>
  <c r="G21" i="1"/>
  <c r="I20" i="1"/>
  <c r="H20" i="1"/>
  <c r="G20" i="1"/>
  <c r="I19" i="1"/>
  <c r="H19" i="1"/>
  <c r="G19" i="1"/>
  <c r="I18" i="1"/>
  <c r="H18" i="1"/>
  <c r="G18" i="1"/>
  <c r="I17" i="1"/>
  <c r="H17" i="1"/>
  <c r="G17" i="1"/>
  <c r="I16" i="1"/>
  <c r="H16" i="1"/>
  <c r="G16" i="1"/>
  <c r="I15" i="1"/>
  <c r="H15" i="1"/>
  <c r="G15" i="1"/>
  <c r="I14" i="1"/>
  <c r="H14" i="1"/>
  <c r="G14" i="1"/>
  <c r="I13" i="1"/>
  <c r="H13" i="1"/>
  <c r="G13" i="1"/>
  <c r="I12" i="1"/>
  <c r="H12" i="1"/>
  <c r="G12" i="1"/>
  <c r="I11" i="1"/>
  <c r="H11" i="1"/>
  <c r="G11" i="1"/>
  <c r="I10" i="1"/>
  <c r="H10" i="1"/>
  <c r="G10" i="1"/>
  <c r="I9" i="1"/>
  <c r="H9" i="1"/>
  <c r="G9" i="1"/>
  <c r="I8" i="1"/>
  <c r="H8" i="1"/>
  <c r="G8" i="1"/>
  <c r="I7" i="1"/>
  <c r="H7" i="1"/>
  <c r="G7" i="1"/>
  <c r="I6" i="1"/>
  <c r="H6" i="1"/>
  <c r="G6" i="1"/>
  <c r="I5" i="1"/>
  <c r="H5" i="1"/>
  <c r="G5" i="1"/>
  <c r="G30" i="1" s="1"/>
  <c r="I30" i="1" l="1"/>
</calcChain>
</file>

<file path=xl/sharedStrings.xml><?xml version="1.0" encoding="utf-8"?>
<sst xmlns="http://schemas.openxmlformats.org/spreadsheetml/2006/main" count="59" uniqueCount="59">
  <si>
    <t>FAZENDA PANAMA — distância dos talhões até a sede</t>
  </si>
  <si>
    <t>Percurso pelas estradas/carreadores, até o ponto mais extremo do talhão.</t>
  </si>
  <si>
    <t>Talhão</t>
  </si>
  <si>
    <t>Área (ha)</t>
  </si>
  <si>
    <t>Perímetro (m)</t>
  </si>
  <si>
    <t>Dist. máxima (m)</t>
  </si>
  <si>
    <t>Dist. mínima (m)</t>
  </si>
  <si>
    <t>Linha reta (m)</t>
  </si>
  <si>
    <t>Máxima (km)</t>
  </si>
  <si>
    <t>Mínima (km)</t>
  </si>
  <si>
    <t>Fator estrada/reta</t>
  </si>
  <si>
    <t>Observação</t>
  </si>
  <si>
    <t>T-02</t>
  </si>
  <si>
    <t>T-05</t>
  </si>
  <si>
    <t>T-03</t>
  </si>
  <si>
    <t>T-06</t>
  </si>
  <si>
    <t>P-23</t>
  </si>
  <si>
    <t>T-08</t>
  </si>
  <si>
    <t>T-09</t>
  </si>
  <si>
    <t>P-19</t>
  </si>
  <si>
    <t>T-11</t>
  </si>
  <si>
    <t>T-12</t>
  </si>
  <si>
    <t>P-22</t>
  </si>
  <si>
    <t>P-15</t>
  </si>
  <si>
    <t>T-01</t>
  </si>
  <si>
    <t>T-04</t>
  </si>
  <si>
    <t>P-16</t>
  </si>
  <si>
    <t>T-14</t>
  </si>
  <si>
    <t>T-16</t>
  </si>
  <si>
    <t>P-20</t>
  </si>
  <si>
    <t>T-07</t>
  </si>
  <si>
    <t>T-10</t>
  </si>
  <si>
    <t>P-21</t>
  </si>
  <si>
    <t>P-18</t>
  </si>
  <si>
    <t>P-17</t>
  </si>
  <si>
    <t>T-13</t>
  </si>
  <si>
    <t>TOTAL / MÁXIMO</t>
  </si>
  <si>
    <t>Fundo amarelo = precisa de conferência: fator ≥ 3,0, ligação suposta, ou talhão sem estrada. Veja a coluna Observação.</t>
  </si>
  <si>
    <t>Como estes números foram calculados</t>
  </si>
  <si>
    <t>Origem</t>
  </si>
  <si>
    <t>Ponto de sede do projeto do Google Earth (-13.759291, -58.743484).</t>
  </si>
  <si>
    <t>Talhões</t>
  </si>
  <si>
    <t>24 polígonos da pasta FAZENDA PANAMA.</t>
  </si>
  <si>
    <t>Malha de estradas</t>
  </si>
  <si>
    <t>Divisas dos talhões (os carreadores correm nas divisas), costuradas onde talhões vizinhos são separados pela faixa do carreador (até 45 m), mais as estradas de dados/estradas_extra.json.</t>
  </si>
  <si>
    <t>Dist. máxima</t>
  </si>
  <si>
    <t>Menor caminho pela estrada, da sede até o ponto MAIS EXTREMO do perímetro do talhão. Não corta por dentro da lavoura.</t>
  </si>
  <si>
    <t>Dist. mínima</t>
  </si>
  <si>
    <t>Menor caminho pela estrada, da sede até o ponto de acesso mais próximo.</t>
  </si>
  <si>
    <t>Linha reta</t>
  </si>
  <si>
    <t>Distância em linha reta da sede até a borda do talhão. Só referência.</t>
  </si>
  <si>
    <t>Fator</t>
  </si>
  <si>
    <t>Dist. máxima ÷ linha reta. Fator alto = rota indireta, ou estrada faltando na malha.</t>
  </si>
  <si>
    <t>Coordenadas</t>
  </si>
  <si>
    <t>SIRGAS 2000 / UTM 21S (EPSG:31981) para distâncias e áreas.</t>
  </si>
  <si>
    <t>Resolução</t>
  </si>
  <si>
    <t>Malha densificada a cada 25 m — é a precisão do 'ponto mais extremo'.</t>
  </si>
  <si>
    <t>Validação</t>
  </si>
  <si>
    <t>A malha precisa ser conferida por quem roda a fazenda. Use o arquivo _bancada.html.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</si>
</sst>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"/>
  </numFmts>
  <fonts count="10" x14ac:knownFonts="1">
    <font>
      <sz val="11"/>
      <color theme="1"/>
      <name val="Calibri"/>
      <family val="2"/>
      <scheme val="minor"/>
    </font>
    <font>
      <b/>
      <sz val="14"/>
      <name val="Arial"/>
    </font>
    <font>
      <i/>
      <sz val="10"/>
      <color rgb="FF808080"/>
      <name val="Arial"/>
    </font>
    <font>
      <b/>
      <sz val="10"/>
      <color rgb="FFFFFFFF"/>
      <name val="Arial"/>
    </font>
    <font>
      <b/>
      <sz val="10"/>
      <name val="Arial"/>
    </font>
    <font>
      <sz val="10"/>
      <name val="Arial"/>
    </font>
    <font>
      <sz val="10"/>
      <color rgb="FF0000FF"/>
      <name val="Arial"/>
    </font>
    <font>
      <i/>
      <sz val="9"/>
      <color rgb="FF000000"/>
      <name val="Arial"/>
    </font>
    <font>
      <i/>
      <sz val="9"/>
      <color rgb="FF808080"/>
      <name val="Arial"/>
    </font>
    <font>
      <b/>
      <sz val="13"/>
      <name val="Arial"/>
    </font>
  </fonts>
  <fills count="5">
    <fill>
      <patternFill patternType="none"/>
    </fill>
    <fill>
      <patternFill patternType="gray125"/>
    </fill>
    <fill>
      <patternFill patternType="solid">
        <fgColor rgb="FF1F3864"/>
      </patternFill>
    </fill>
    <fill>
      <patternFill patternType="solid">
        <fgColor rgb="FFFFF2CC"/>
      </patternFill>
    </fill>
    <fill>
      <patternFill patternType="solid">
        <fgColor rgb="FFF2F2F2"/>
      </patternFill>
    </fill>
  </fills>
  <borders count="2">
    <border>
      <left/>
      <right/>
      <top/>
      <bottom/>
      <diagonal/>
    </border>
    <border>
      <left/>
      <right/>
      <top/>
      <bottom style="thin">
        <color rgb="FFBFBFBF"/>
      </bottom>
      <diagonal/>
    </border>
  </borders>
  <cellStyleXfs count="1">
    <xf numFmtId="0" fontId="0" fillId="0" borderId="0"/>
  </cellStyleXfs>
  <cellXfs count="34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 applyAlignment="1">
      <alignment horizontal="center" vertical="center" wrapText="1"/>
    </xf>
    <xf numFmtId="0" fontId="4" fillId="0" borderId="1" xfId="0" applyFont="1" applyBorder="1"/>
    <xf numFmtId="164" fontId="5" fillId="0" borderId="1" xfId="0" applyNumberFormat="1" applyFont="1" applyBorder="1"/>
    <xf numFmtId="3" fontId="5" fillId="0" borderId="1" xfId="0" applyNumberFormat="1" applyFont="1" applyBorder="1"/>
    <xf numFmtId="3" fontId="6" fillId="0" borderId="1" xfId="0" applyNumberFormat="1" applyFont="1" applyBorder="1"/>
    <xf numFmtId="4" fontId="5" fillId="0" borderId="1" xfId="0" applyNumberFormat="1" applyFont="1" applyBorder="1"/>
    <xf numFmtId="2" fontId="5" fillId="0" borderId="1" xfId="0" applyNumberFormat="1" applyFont="1" applyBorder="1"/>
    <xf numFmtId="0" fontId="7" fillId="0" borderId="1" xfId="0" applyFont="1" applyBorder="1"/>
    <xf numFmtId="0" fontId="4" fillId="3" borderId="1" xfId="0" applyFont="1" applyFill="1" applyBorder="1"/>
    <xf numFmtId="164" fontId="5" fillId="3" borderId="1" xfId="0" applyNumberFormat="1" applyFont="1" applyFill="1" applyBorder="1"/>
    <xf numFmtId="3" fontId="5" fillId="3" borderId="1" xfId="0" applyNumberFormat="1" applyFont="1" applyFill="1" applyBorder="1"/>
    <xf numFmtId="3" fontId="6" fillId="3" borderId="1" xfId="0" applyNumberFormat="1" applyFont="1" applyFill="1" applyBorder="1"/>
    <xf numFmtId="4" fontId="5" fillId="3" borderId="1" xfId="0" applyNumberFormat="1" applyFont="1" applyFill="1" applyBorder="1"/>
    <xf numFmtId="2" fontId="5" fillId="3" borderId="1" xfId="0" applyNumberFormat="1" applyFont="1" applyFill="1" applyBorder="1"/>
    <xf numFmtId="0" fontId="7" fillId="3" borderId="1" xfId="0" applyFont="1" applyFill="1" applyBorder="1"/>
    <xf numFmtId="0" fontId="4" fillId="4" borderId="1" xfId="0" applyFont="1" applyFill="1" applyBorder="1"/>
    <xf numFmtId="164" fontId="5" fillId="4" borderId="1" xfId="0" applyNumberFormat="1" applyFont="1" applyFill="1" applyBorder="1"/>
    <xf numFmtId="3" fontId="5" fillId="4" borderId="1" xfId="0" applyNumberFormat="1" applyFont="1" applyFill="1" applyBorder="1"/>
    <xf numFmtId="3" fontId="6" fillId="4" borderId="1" xfId="0" applyNumberFormat="1" applyFont="1" applyFill="1" applyBorder="1"/>
    <xf numFmtId="4" fontId="5" fillId="4" borderId="1" xfId="0" applyNumberFormat="1" applyFont="1" applyFill="1" applyBorder="1"/>
    <xf numFmtId="2" fontId="5" fillId="4" borderId="1" xfId="0" applyNumberFormat="1" applyFont="1" applyFill="1" applyBorder="1"/>
    <xf numFmtId="0" fontId="7" fillId="4" borderId="1" xfId="0" applyFont="1" applyFill="1" applyBorder="1"/>
    <xf numFmtId="0" fontId="4" fillId="0" borderId="0" xfId="0" applyFont="1"/>
    <xf numFmtId="164" fontId="4" fillId="0" borderId="0" xfId="0" applyNumberFormat="1" applyFont="1"/>
    <xf numFmtId="3" fontId="4" fillId="0" borderId="0" xfId="0" applyNumberFormat="1" applyFont="1"/>
    <xf numFmtId="4" fontId="4" fillId="0" borderId="0" xfId="0" applyNumberFormat="1" applyFont="1"/>
    <xf numFmtId="2" fontId="4" fillId="0" borderId="0" xfId="0" applyNumberFormat="1" applyFont="1"/>
    <xf numFmtId="0" fontId="8" fillId="0" borderId="0" xfId="0" applyFont="1"/>
    <xf numFmtId="0" fontId="9" fillId="0" borderId="0" xfId="0" applyFont="1"/>
    <xf numFmtId="0" fontId="4" fillId="0" borderId="0" xfId="0" applyFont="1" applyAlignment="1">
      <alignment vertical="top"/>
    </xf>
    <xf numFmtId="0" fontId="5" fillId="0" borderId="0" xfId="0" applyFont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31"/>
  <sheetViews>
    <sheetView tabSelected="1" workbookViewId="0">
      <pane ySplit="4" topLeftCell="A5" activePane="bottomLeft" state="frozen"/>
      <selection pane="bottomLeft"/>
    </sheetView>
  </sheetViews>
  <sheetFormatPr defaultRowHeight="14.4" x14ac:dyDescent="0.3"/>
  <cols>
    <col min="1" max="1" width="12" customWidth="1"/>
    <col min="2" max="2" width="11" customWidth="1"/>
    <col min="3" max="3" width="14" customWidth="1"/>
    <col min="4" max="5" width="16" customWidth="1"/>
    <col min="6" max="6" width="14" customWidth="1"/>
    <col min="7" max="8" width="12" customWidth="1"/>
    <col min="9" max="9" width="17" customWidth="1"/>
    <col min="10" max="10" width="34" customWidth="1"/>
  </cols>
  <sheetData>
    <row r="1" spans="1:10" ht="17.399999999999999" x14ac:dyDescent="0.3">
      <c r="A1" s="1" t="s">
        <v>0</v>
      </c>
    </row>
    <row r="2" spans="1:10" x14ac:dyDescent="0.3">
      <c r="A2" s="2" t="s">
        <v>1</v>
      </c>
    </row>
    <row r="4" spans="1:10" ht="30" customHeight="1" x14ac:dyDescent="0.3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  <c r="J4" s="3" t="s">
        <v>11</v>
      </c>
    </row>
    <row r="5" spans="1:10" x14ac:dyDescent="0.3">
      <c r="A5" s="4" t="s">
        <v>12</v>
      </c>
      <c r="B5" s="5">
        <v>93.91</v>
      </c>
      <c r="C5" s="6">
        <v>4667</v>
      </c>
      <c r="D5" s="7">
        <v>9654</v>
      </c>
      <c r="E5" s="7">
        <v>3852</v>
      </c>
      <c r="F5" s="7">
        <v>3453</v>
      </c>
      <c r="G5" s="8">
        <f t="shared" ref="G5:G28" si="0">D5/1000</f>
        <v>9.6539999999999999</v>
      </c>
      <c r="H5" s="8">
        <f t="shared" ref="H5:H28" si="1">E5/1000</f>
        <v>3.8519999999999999</v>
      </c>
      <c r="I5" s="9">
        <f t="shared" ref="I5:I28" si="2">IFERROR(D5/F5,"")</f>
        <v>2.7958297132927887</v>
      </c>
      <c r="J5" s="10"/>
    </row>
    <row r="6" spans="1:10" x14ac:dyDescent="0.3">
      <c r="A6" s="11" t="s">
        <v>13</v>
      </c>
      <c r="B6" s="12">
        <v>205.66</v>
      </c>
      <c r="C6" s="13">
        <v>5951</v>
      </c>
      <c r="D6" s="14">
        <v>9654</v>
      </c>
      <c r="E6" s="14">
        <v>2371</v>
      </c>
      <c r="F6" s="14">
        <v>2356</v>
      </c>
      <c r="G6" s="15">
        <f t="shared" si="0"/>
        <v>9.6539999999999999</v>
      </c>
      <c r="H6" s="15">
        <f t="shared" si="1"/>
        <v>2.371</v>
      </c>
      <c r="I6" s="16">
        <f t="shared" si="2"/>
        <v>4.0976230899830224</v>
      </c>
      <c r="J6" s="17"/>
    </row>
    <row r="7" spans="1:10" x14ac:dyDescent="0.3">
      <c r="A7" s="4" t="s">
        <v>14</v>
      </c>
      <c r="B7" s="5">
        <v>73.69</v>
      </c>
      <c r="C7" s="6">
        <v>4875</v>
      </c>
      <c r="D7" s="7">
        <v>9544</v>
      </c>
      <c r="E7" s="7">
        <v>5906</v>
      </c>
      <c r="F7" s="7">
        <v>3796</v>
      </c>
      <c r="G7" s="8">
        <f t="shared" si="0"/>
        <v>9.5440000000000005</v>
      </c>
      <c r="H7" s="8">
        <f t="shared" si="1"/>
        <v>5.9059999999999997</v>
      </c>
      <c r="I7" s="9">
        <f t="shared" si="2"/>
        <v>2.5142255005268703</v>
      </c>
      <c r="J7" s="10"/>
    </row>
    <row r="8" spans="1:10" x14ac:dyDescent="0.3">
      <c r="A8" s="11" t="s">
        <v>15</v>
      </c>
      <c r="B8" s="12">
        <v>165.19</v>
      </c>
      <c r="C8" s="13">
        <v>5893</v>
      </c>
      <c r="D8" s="14">
        <v>9544</v>
      </c>
      <c r="E8" s="14">
        <v>6307</v>
      </c>
      <c r="F8" s="14">
        <v>2870</v>
      </c>
      <c r="G8" s="15">
        <f t="shared" si="0"/>
        <v>9.5440000000000005</v>
      </c>
      <c r="H8" s="15">
        <f t="shared" si="1"/>
        <v>6.3070000000000004</v>
      </c>
      <c r="I8" s="16">
        <f t="shared" si="2"/>
        <v>3.3254355400696864</v>
      </c>
      <c r="J8" s="17"/>
    </row>
    <row r="9" spans="1:10" x14ac:dyDescent="0.3">
      <c r="A9" s="4" t="s">
        <v>16</v>
      </c>
      <c r="B9" s="5">
        <v>126.4</v>
      </c>
      <c r="C9" s="6">
        <v>4651</v>
      </c>
      <c r="D9" s="7">
        <v>9011</v>
      </c>
      <c r="E9" s="7">
        <v>4550</v>
      </c>
      <c r="F9" s="7">
        <v>3350</v>
      </c>
      <c r="G9" s="8">
        <f t="shared" si="0"/>
        <v>9.0109999999999992</v>
      </c>
      <c r="H9" s="8">
        <f t="shared" si="1"/>
        <v>4.55</v>
      </c>
      <c r="I9" s="9">
        <f t="shared" si="2"/>
        <v>2.6898507462686565</v>
      </c>
      <c r="J9" s="10"/>
    </row>
    <row r="10" spans="1:10" x14ac:dyDescent="0.3">
      <c r="A10" s="11" t="s">
        <v>17</v>
      </c>
      <c r="B10" s="12">
        <v>202.95</v>
      </c>
      <c r="C10" s="13">
        <v>5923</v>
      </c>
      <c r="D10" s="14">
        <v>8484</v>
      </c>
      <c r="E10" s="14">
        <v>1286</v>
      </c>
      <c r="F10" s="14">
        <v>1272</v>
      </c>
      <c r="G10" s="15">
        <f t="shared" si="0"/>
        <v>8.484</v>
      </c>
      <c r="H10" s="15">
        <f t="shared" si="1"/>
        <v>1.286</v>
      </c>
      <c r="I10" s="16">
        <f t="shared" si="2"/>
        <v>6.6698113207547172</v>
      </c>
      <c r="J10" s="17"/>
    </row>
    <row r="11" spans="1:10" x14ac:dyDescent="0.3">
      <c r="A11" s="11" t="s">
        <v>18</v>
      </c>
      <c r="B11" s="12">
        <v>185.59</v>
      </c>
      <c r="C11" s="13">
        <v>6451</v>
      </c>
      <c r="D11" s="14">
        <v>8025</v>
      </c>
      <c r="E11" s="14">
        <v>5294</v>
      </c>
      <c r="F11" s="14">
        <v>2159</v>
      </c>
      <c r="G11" s="15">
        <f t="shared" si="0"/>
        <v>8.0250000000000004</v>
      </c>
      <c r="H11" s="15">
        <f t="shared" si="1"/>
        <v>5.2939999999999996</v>
      </c>
      <c r="I11" s="16">
        <f t="shared" si="2"/>
        <v>3.716998610467809</v>
      </c>
      <c r="J11" s="17"/>
    </row>
    <row r="12" spans="1:10" x14ac:dyDescent="0.3">
      <c r="A12" s="18" t="s">
        <v>19</v>
      </c>
      <c r="B12" s="19">
        <v>128.74</v>
      </c>
      <c r="C12" s="20">
        <v>4709</v>
      </c>
      <c r="D12" s="21">
        <v>7425</v>
      </c>
      <c r="E12" s="21">
        <v>3020</v>
      </c>
      <c r="F12" s="21">
        <v>2722</v>
      </c>
      <c r="G12" s="22">
        <f t="shared" si="0"/>
        <v>7.4249999999999998</v>
      </c>
      <c r="H12" s="22">
        <f t="shared" si="1"/>
        <v>3.02</v>
      </c>
      <c r="I12" s="23">
        <f t="shared" si="2"/>
        <v>2.7277736958119032</v>
      </c>
      <c r="J12" s="24"/>
    </row>
    <row r="13" spans="1:10" x14ac:dyDescent="0.3">
      <c r="A13" s="11" t="s">
        <v>20</v>
      </c>
      <c r="B13" s="12">
        <v>181.52</v>
      </c>
      <c r="C13" s="13">
        <v>7622</v>
      </c>
      <c r="D13" s="14">
        <v>7022</v>
      </c>
      <c r="E13" s="14">
        <v>411</v>
      </c>
      <c r="F13" s="14">
        <v>258</v>
      </c>
      <c r="G13" s="15">
        <f t="shared" si="0"/>
        <v>7.0220000000000002</v>
      </c>
      <c r="H13" s="15">
        <f t="shared" si="1"/>
        <v>0.41099999999999998</v>
      </c>
      <c r="I13" s="16">
        <f t="shared" si="2"/>
        <v>27.217054263565892</v>
      </c>
      <c r="J13" s="17"/>
    </row>
    <row r="14" spans="1:10" x14ac:dyDescent="0.3">
      <c r="A14" s="11" t="s">
        <v>21</v>
      </c>
      <c r="B14" s="12">
        <v>141.49</v>
      </c>
      <c r="C14" s="13">
        <v>7024</v>
      </c>
      <c r="D14" s="14">
        <v>7022</v>
      </c>
      <c r="E14" s="14">
        <v>2091</v>
      </c>
      <c r="F14" s="14">
        <v>1843</v>
      </c>
      <c r="G14" s="15">
        <f t="shared" si="0"/>
        <v>7.0220000000000002</v>
      </c>
      <c r="H14" s="15">
        <f t="shared" si="1"/>
        <v>2.0910000000000002</v>
      </c>
      <c r="I14" s="16">
        <f t="shared" si="2"/>
        <v>3.8100922409115574</v>
      </c>
      <c r="J14" s="17"/>
    </row>
    <row r="15" spans="1:10" x14ac:dyDescent="0.3">
      <c r="A15" s="4" t="s">
        <v>22</v>
      </c>
      <c r="B15" s="5">
        <v>104.48</v>
      </c>
      <c r="C15" s="6">
        <v>4116</v>
      </c>
      <c r="D15" s="7">
        <v>6570</v>
      </c>
      <c r="E15" s="7">
        <v>3557</v>
      </c>
      <c r="F15" s="7">
        <v>2549</v>
      </c>
      <c r="G15" s="8">
        <f t="shared" si="0"/>
        <v>6.57</v>
      </c>
      <c r="H15" s="8">
        <f t="shared" si="1"/>
        <v>3.5569999999999999</v>
      </c>
      <c r="I15" s="9">
        <f t="shared" si="2"/>
        <v>2.5774813652412711</v>
      </c>
      <c r="J15" s="10"/>
    </row>
    <row r="16" spans="1:10" x14ac:dyDescent="0.3">
      <c r="A16" s="11" t="s">
        <v>23</v>
      </c>
      <c r="B16" s="12">
        <v>111.43</v>
      </c>
      <c r="C16" s="13">
        <v>5109</v>
      </c>
      <c r="D16" s="14">
        <v>6391</v>
      </c>
      <c r="E16" s="14">
        <v>1998</v>
      </c>
      <c r="F16" s="14">
        <v>1838</v>
      </c>
      <c r="G16" s="15">
        <f t="shared" si="0"/>
        <v>6.391</v>
      </c>
      <c r="H16" s="15">
        <f t="shared" si="1"/>
        <v>1.998</v>
      </c>
      <c r="I16" s="16">
        <f t="shared" si="2"/>
        <v>3.4771490750816105</v>
      </c>
      <c r="J16" s="17"/>
    </row>
    <row r="17" spans="1:10" x14ac:dyDescent="0.3">
      <c r="A17" s="4" t="s">
        <v>24</v>
      </c>
      <c r="B17" s="5">
        <v>59.49</v>
      </c>
      <c r="C17" s="6">
        <v>4192</v>
      </c>
      <c r="D17" s="7">
        <v>6046</v>
      </c>
      <c r="E17" s="7">
        <v>3852</v>
      </c>
      <c r="F17" s="7">
        <v>3468</v>
      </c>
      <c r="G17" s="8">
        <f t="shared" si="0"/>
        <v>6.0460000000000003</v>
      </c>
      <c r="H17" s="8">
        <f t="shared" si="1"/>
        <v>3.8519999999999999</v>
      </c>
      <c r="I17" s="9">
        <f t="shared" si="2"/>
        <v>1.743367935409458</v>
      </c>
      <c r="J17" s="10"/>
    </row>
    <row r="18" spans="1:10" x14ac:dyDescent="0.3">
      <c r="A18" s="18" t="s">
        <v>25</v>
      </c>
      <c r="B18" s="19">
        <v>205.61</v>
      </c>
      <c r="C18" s="20">
        <v>5931</v>
      </c>
      <c r="D18" s="21">
        <v>6046</v>
      </c>
      <c r="E18" s="21">
        <v>2375</v>
      </c>
      <c r="F18" s="21">
        <v>2368</v>
      </c>
      <c r="G18" s="22">
        <f t="shared" si="0"/>
        <v>6.0460000000000003</v>
      </c>
      <c r="H18" s="22">
        <f t="shared" si="1"/>
        <v>2.375</v>
      </c>
      <c r="I18" s="23">
        <f t="shared" si="2"/>
        <v>2.5532094594594597</v>
      </c>
      <c r="J18" s="24"/>
    </row>
    <row r="19" spans="1:10" x14ac:dyDescent="0.3">
      <c r="A19" s="11" t="s">
        <v>26</v>
      </c>
      <c r="B19" s="12">
        <v>94.93</v>
      </c>
      <c r="C19" s="13">
        <v>4729</v>
      </c>
      <c r="D19" s="14">
        <v>5885</v>
      </c>
      <c r="E19" s="14">
        <v>200</v>
      </c>
      <c r="F19" s="14">
        <v>179</v>
      </c>
      <c r="G19" s="15">
        <f t="shared" si="0"/>
        <v>5.8849999999999998</v>
      </c>
      <c r="H19" s="15">
        <f t="shared" si="1"/>
        <v>0.2</v>
      </c>
      <c r="I19" s="16">
        <f t="shared" si="2"/>
        <v>32.877094972067042</v>
      </c>
      <c r="J19" s="17"/>
    </row>
    <row r="20" spans="1:10" x14ac:dyDescent="0.3">
      <c r="A20" s="11" t="s">
        <v>27</v>
      </c>
      <c r="B20" s="12">
        <v>81.069999999999993</v>
      </c>
      <c r="C20" s="13">
        <v>4914</v>
      </c>
      <c r="D20" s="14">
        <v>5555</v>
      </c>
      <c r="E20" s="14">
        <v>2131</v>
      </c>
      <c r="F20" s="14">
        <v>1828</v>
      </c>
      <c r="G20" s="15">
        <f t="shared" si="0"/>
        <v>5.5549999999999997</v>
      </c>
      <c r="H20" s="15">
        <f t="shared" si="1"/>
        <v>2.1309999999999998</v>
      </c>
      <c r="I20" s="16">
        <f t="shared" si="2"/>
        <v>3.038840262582057</v>
      </c>
      <c r="J20" s="17"/>
    </row>
    <row r="21" spans="1:10" x14ac:dyDescent="0.3">
      <c r="A21" s="11" t="s">
        <v>28</v>
      </c>
      <c r="B21" s="12">
        <v>70.63</v>
      </c>
      <c r="C21" s="13">
        <v>4030</v>
      </c>
      <c r="D21" s="14">
        <v>5459</v>
      </c>
      <c r="E21" s="14">
        <v>1035</v>
      </c>
      <c r="F21" s="14">
        <v>591</v>
      </c>
      <c r="G21" s="15">
        <f t="shared" si="0"/>
        <v>5.4589999999999996</v>
      </c>
      <c r="H21" s="15">
        <f t="shared" si="1"/>
        <v>1.0349999999999999</v>
      </c>
      <c r="I21" s="16">
        <f t="shared" si="2"/>
        <v>9.2368866328257191</v>
      </c>
      <c r="J21" s="17"/>
    </row>
    <row r="22" spans="1:10" x14ac:dyDescent="0.3">
      <c r="A22" s="11" t="s">
        <v>29</v>
      </c>
      <c r="B22" s="12">
        <v>115.16</v>
      </c>
      <c r="C22" s="13">
        <v>4391</v>
      </c>
      <c r="D22" s="14">
        <v>5456</v>
      </c>
      <c r="E22" s="14">
        <v>1477</v>
      </c>
      <c r="F22" s="14">
        <v>1059</v>
      </c>
      <c r="G22" s="15">
        <f t="shared" si="0"/>
        <v>5.4560000000000004</v>
      </c>
      <c r="H22" s="15">
        <f t="shared" si="1"/>
        <v>1.4770000000000001</v>
      </c>
      <c r="I22" s="16">
        <f t="shared" si="2"/>
        <v>5.1520302171860246</v>
      </c>
      <c r="J22" s="17"/>
    </row>
    <row r="23" spans="1:10" x14ac:dyDescent="0.3">
      <c r="A23" s="11" t="s">
        <v>30</v>
      </c>
      <c r="B23" s="12">
        <v>200.1</v>
      </c>
      <c r="C23" s="13">
        <v>5875</v>
      </c>
      <c r="D23" s="14">
        <v>5193</v>
      </c>
      <c r="E23" s="14">
        <v>1286</v>
      </c>
      <c r="F23" s="14">
        <v>1280</v>
      </c>
      <c r="G23" s="15">
        <f t="shared" si="0"/>
        <v>5.1929999999999996</v>
      </c>
      <c r="H23" s="15">
        <f t="shared" si="1"/>
        <v>1.286</v>
      </c>
      <c r="I23" s="16">
        <f t="shared" si="2"/>
        <v>4.0570312499999996</v>
      </c>
      <c r="J23" s="17"/>
    </row>
    <row r="24" spans="1:10" x14ac:dyDescent="0.3">
      <c r="A24" s="11" t="s">
        <v>31</v>
      </c>
      <c r="B24" s="12">
        <v>171.85</v>
      </c>
      <c r="C24" s="13">
        <v>5764</v>
      </c>
      <c r="D24" s="14">
        <v>4974</v>
      </c>
      <c r="E24" s="14">
        <v>175</v>
      </c>
      <c r="F24" s="14">
        <v>154</v>
      </c>
      <c r="G24" s="15">
        <f t="shared" si="0"/>
        <v>4.9740000000000002</v>
      </c>
      <c r="H24" s="15">
        <f t="shared" si="1"/>
        <v>0.17499999999999999</v>
      </c>
      <c r="I24" s="16">
        <f t="shared" si="2"/>
        <v>32.298701298701296</v>
      </c>
      <c r="J24" s="17"/>
    </row>
    <row r="25" spans="1:10" x14ac:dyDescent="0.3">
      <c r="A25" s="11" t="s">
        <v>32</v>
      </c>
      <c r="B25" s="12">
        <v>148.24</v>
      </c>
      <c r="C25" s="13">
        <v>4904</v>
      </c>
      <c r="D25" s="14">
        <v>4367</v>
      </c>
      <c r="E25" s="14">
        <v>1506</v>
      </c>
      <c r="F25" s="14">
        <v>1045</v>
      </c>
      <c r="G25" s="15">
        <f t="shared" si="0"/>
        <v>4.367</v>
      </c>
      <c r="H25" s="15">
        <f t="shared" si="1"/>
        <v>1.506</v>
      </c>
      <c r="I25" s="16">
        <f t="shared" si="2"/>
        <v>4.1789473684210527</v>
      </c>
      <c r="J25" s="17"/>
    </row>
    <row r="26" spans="1:10" x14ac:dyDescent="0.3">
      <c r="A26" s="11" t="s">
        <v>33</v>
      </c>
      <c r="B26" s="12">
        <v>136.31</v>
      </c>
      <c r="C26" s="13">
        <v>4890</v>
      </c>
      <c r="D26" s="14">
        <v>4028</v>
      </c>
      <c r="E26" s="14">
        <v>1063</v>
      </c>
      <c r="F26" s="14">
        <v>1018</v>
      </c>
      <c r="G26" s="15">
        <f t="shared" si="0"/>
        <v>4.0279999999999996</v>
      </c>
      <c r="H26" s="15">
        <f t="shared" si="1"/>
        <v>1.0629999999999999</v>
      </c>
      <c r="I26" s="16">
        <f t="shared" si="2"/>
        <v>3.956777996070727</v>
      </c>
      <c r="J26" s="17"/>
    </row>
    <row r="27" spans="1:10" x14ac:dyDescent="0.3">
      <c r="A27" s="11" t="s">
        <v>34</v>
      </c>
      <c r="B27" s="12">
        <v>113.44</v>
      </c>
      <c r="C27" s="13">
        <v>4389</v>
      </c>
      <c r="D27" s="14">
        <v>3432</v>
      </c>
      <c r="E27" s="14">
        <v>305</v>
      </c>
      <c r="F27" s="14">
        <v>240</v>
      </c>
      <c r="G27" s="15">
        <f t="shared" si="0"/>
        <v>3.4319999999999999</v>
      </c>
      <c r="H27" s="15">
        <f t="shared" si="1"/>
        <v>0.30499999999999999</v>
      </c>
      <c r="I27" s="16">
        <f t="shared" si="2"/>
        <v>14.3</v>
      </c>
      <c r="J27" s="17"/>
    </row>
    <row r="28" spans="1:10" x14ac:dyDescent="0.3">
      <c r="A28" s="11" t="s">
        <v>35</v>
      </c>
      <c r="B28" s="12">
        <v>56.86</v>
      </c>
      <c r="C28" s="13">
        <v>4026</v>
      </c>
      <c r="D28" s="14">
        <v>3293</v>
      </c>
      <c r="E28" s="14">
        <v>361</v>
      </c>
      <c r="F28" s="14">
        <v>308</v>
      </c>
      <c r="G28" s="15">
        <f t="shared" si="0"/>
        <v>3.2930000000000001</v>
      </c>
      <c r="H28" s="15">
        <f t="shared" si="1"/>
        <v>0.36099999999999999</v>
      </c>
      <c r="I28" s="16">
        <f t="shared" si="2"/>
        <v>10.691558441558442</v>
      </c>
      <c r="J28" s="17"/>
    </row>
    <row r="30" spans="1:10" x14ac:dyDescent="0.3">
      <c r="A30" s="25" t="s">
        <v>36</v>
      </c>
      <c r="B30" s="26">
        <f>SUM(B5:B28)</f>
        <v>3174.7400000000002</v>
      </c>
      <c r="D30" s="27">
        <f>MAX(D5:D28)</f>
        <v>9654</v>
      </c>
      <c r="G30" s="28">
        <f>IFERROR(MAX(G5:G28),"")</f>
        <v>9.6539999999999999</v>
      </c>
      <c r="I30" s="29">
        <f>IFERROR(AVERAGE(I5:I28),"")</f>
        <v>7.9043237915107118</v>
      </c>
    </row>
    <row r="31" spans="1:10" x14ac:dyDescent="0.3">
      <c r="A31" s="30" t="s">
        <v>37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2"/>
  <sheetViews>
    <sheetView workbookViewId="0"/>
  </sheetViews>
  <sheetFormatPr defaultRowHeight="14.4" x14ac:dyDescent="0.3"/>
  <cols>
    <col min="1" max="1" width="26" customWidth="1"/>
    <col min="2" max="2" width="95" customWidth="1"/>
  </cols>
  <sheetData>
    <row r="1" spans="1:2" ht="16.8" x14ac:dyDescent="0.3">
      <c r="A1" s="31" t="s">
        <v>38</v>
      </c>
    </row>
    <row r="3" spans="1:2" ht="30" customHeight="1" x14ac:dyDescent="0.3">
      <c r="A3" s="32" t="s">
        <v>39</v>
      </c>
      <c r="B3" s="33" t="s">
        <v>40</v>
      </c>
    </row>
    <row r="4" spans="1:2" ht="30" customHeight="1" x14ac:dyDescent="0.3">
      <c r="A4" s="32" t="s">
        <v>41</v>
      </c>
      <c r="B4" s="33" t="s">
        <v>42</v>
      </c>
    </row>
    <row r="5" spans="1:2" ht="30" customHeight="1" x14ac:dyDescent="0.3">
      <c r="A5" s="32" t="s">
        <v>43</v>
      </c>
      <c r="B5" s="33" t="s">
        <v>44</v>
      </c>
    </row>
    <row r="6" spans="1:2" ht="30" customHeight="1" x14ac:dyDescent="0.3">
      <c r="A6" s="32" t="s">
        <v>45</v>
      </c>
      <c r="B6" s="33" t="s">
        <v>46</v>
      </c>
    </row>
    <row r="7" spans="1:2" ht="30" customHeight="1" x14ac:dyDescent="0.3">
      <c r="A7" s="32" t="s">
        <v>47</v>
      </c>
      <c r="B7" s="33" t="s">
        <v>48</v>
      </c>
    </row>
    <row r="8" spans="1:2" ht="30" customHeight="1" x14ac:dyDescent="0.3">
      <c r="A8" s="32" t="s">
        <v>49</v>
      </c>
      <c r="B8" s="33" t="s">
        <v>50</v>
      </c>
    </row>
    <row r="9" spans="1:2" ht="30" customHeight="1" x14ac:dyDescent="0.3">
      <c r="A9" s="32" t="s">
        <v>51</v>
      </c>
      <c r="B9" s="33" t="s">
        <v>52</v>
      </c>
    </row>
    <row r="10" spans="1:2" ht="30" customHeight="1" x14ac:dyDescent="0.3">
      <c r="A10" s="32" t="s">
        <v>53</v>
      </c>
      <c r="B10" s="33" t="s">
        <v>54</v>
      </c>
    </row>
    <row r="11" spans="1:2" ht="30" customHeight="1" x14ac:dyDescent="0.3">
      <c r="A11" s="32" t="s">
        <v>55</v>
      </c>
      <c r="B11" s="33" t="s">
        <v>56</v>
      </c>
    </row>
    <row r="12" spans="1:2" ht="30" customHeight="1" x14ac:dyDescent="0.3">
      <c r="A12" s="32" t="s">
        <v>57</v>
      </c>
      <c r="B12" s="33" t="s">
        <v>58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Distâncias</vt:lpstr>
      <vt:lpstr>Premissas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Maxsander dos Santos Vilela</cp:lastModifiedBy>
  <dcterms:created xsi:type="dcterms:W3CDTF">2026-09-15T18:16:52Z</dcterms:created>
  <dcterms:modified xsi:type="dcterms:W3CDTF">2026-09-15T18:17:07Z</dcterms:modified>
</cp:coreProperties>
</file>