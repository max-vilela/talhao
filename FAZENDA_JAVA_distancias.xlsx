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talhoes-distancias\saidas\"/>
    </mc:Choice>
  </mc:AlternateContent>
  <xr:revisionPtr revIDLastSave="0" documentId="13_ncr:1_{15603A78-ABD1-40D6-A3E4-305E01B818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stâncias" sheetId="1" r:id="rId1"/>
    <sheet name="Premiss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B41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G41" i="1" l="1"/>
  <c r="I41" i="1"/>
</calcChain>
</file>

<file path=xl/sharedStrings.xml><?xml version="1.0" encoding="utf-8"?>
<sst xmlns="http://schemas.openxmlformats.org/spreadsheetml/2006/main" count="70" uniqueCount="70">
  <si>
    <t>FAZENDA JAVA — distância dos talhões até a sede</t>
  </si>
  <si>
    <t>Percurso pelas estradas/carreadores, até o ponto mais extremo do talhão.</t>
  </si>
  <si>
    <t>Talhão</t>
  </si>
  <si>
    <t>Área (ha)</t>
  </si>
  <si>
    <t>Perímetro (m)</t>
  </si>
  <si>
    <t>Dist. máxima (m)</t>
  </si>
  <si>
    <t>Dist. mínima (m)</t>
  </si>
  <si>
    <t>Linha reta (m)</t>
  </si>
  <si>
    <t>Máxima (km)</t>
  </si>
  <si>
    <t>Mínima (km)</t>
  </si>
  <si>
    <t>Fator estrada/reta</t>
  </si>
  <si>
    <t>Observação</t>
  </si>
  <si>
    <t>T-11A</t>
  </si>
  <si>
    <t>T-13C</t>
  </si>
  <si>
    <t>T-13B</t>
  </si>
  <si>
    <t>T-11B</t>
  </si>
  <si>
    <t>T-11C</t>
  </si>
  <si>
    <t>T-13D</t>
  </si>
  <si>
    <t>T-11D</t>
  </si>
  <si>
    <t>T-13A</t>
  </si>
  <si>
    <t>T-10A</t>
  </si>
  <si>
    <t>T-12A</t>
  </si>
  <si>
    <t>T-15B</t>
  </si>
  <si>
    <t>T-15C</t>
  </si>
  <si>
    <t>T-14A</t>
  </si>
  <si>
    <t>T-14D</t>
  </si>
  <si>
    <t>T-07C</t>
  </si>
  <si>
    <t>T-07D</t>
  </si>
  <si>
    <t>T-07B</t>
  </si>
  <si>
    <t>T-07A</t>
  </si>
  <si>
    <t>T-01C</t>
  </si>
  <si>
    <t>T-05</t>
  </si>
  <si>
    <t>T-06B</t>
  </si>
  <si>
    <t>T-06D</t>
  </si>
  <si>
    <t>T-06E</t>
  </si>
  <si>
    <t>T-09A</t>
  </si>
  <si>
    <t>T-09B</t>
  </si>
  <si>
    <t>T-01A</t>
  </si>
  <si>
    <t>T-03A</t>
  </si>
  <si>
    <t>T-03B</t>
  </si>
  <si>
    <t>T-01</t>
  </si>
  <si>
    <t>T-06C</t>
  </si>
  <si>
    <t>T-08A</t>
  </si>
  <si>
    <t>T-04A</t>
  </si>
  <si>
    <t>T-04B</t>
  </si>
  <si>
    <t>T-02</t>
  </si>
  <si>
    <t>T-04</t>
  </si>
  <si>
    <t>TOTAL / MÁXIMO</t>
  </si>
  <si>
    <t>Fundo amarelo = precisa de conferência: fator ≥ 3,0, ligação suposta, ou talhão sem estrada. Veja a coluna Observação.</t>
  </si>
  <si>
    <t>Como estes números foram calculados</t>
  </si>
  <si>
    <t>Origem</t>
  </si>
  <si>
    <t>Ponto de sede do projeto do Google Earth (-13.586393, -57.555499).</t>
  </si>
  <si>
    <t>Talhões</t>
  </si>
  <si>
    <t>35 polígonos da pasta FAZENDA JAVA.</t>
  </si>
  <si>
    <t>Malha de estradas</t>
  </si>
  <si>
    <t>Divisas dos talhões (os carreadores correm nas divisas), costuradas onde talhões vizinhos são separados pela faixa do carreador (até 45 m), mais as estradas de dados/estradas_extra.json.</t>
  </si>
  <si>
    <t>Dist. máxima</t>
  </si>
  <si>
    <t>Menor caminho pela estrada, da sede até o ponto MAIS EXTREMO do perímetro do talhão. Não corta por dentro da lavoura.</t>
  </si>
  <si>
    <t>Dist. mínima</t>
  </si>
  <si>
    <t>Menor caminho pela estrada, da sede até o ponto de acesso mais próximo.</t>
  </si>
  <si>
    <t>Linha reta</t>
  </si>
  <si>
    <t>Distância em linha reta da sede até a borda do talhão. Só referência.</t>
  </si>
  <si>
    <t>Fator</t>
  </si>
  <si>
    <t>Dist. máxima ÷ linha reta. Fator alto = rota indireta, ou estrada faltando na malha.</t>
  </si>
  <si>
    <t>Coordenadas</t>
  </si>
  <si>
    <t>SIRGAS 2000 / UTM 21S (EPSG:31981) para distâncias e áreas.</t>
  </si>
  <si>
    <t>Resolução</t>
  </si>
  <si>
    <t>Malha densificada a cada 25 m — é a precisão do 'ponto mais extremo'.</t>
  </si>
  <si>
    <t>Validação</t>
  </si>
  <si>
    <t>A malha precisa ser conferida por quem roda a fazenda. Use o arquivo _bancada.html.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</si>
</sst>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000000"/>
      <name val="Arial"/>
    </font>
    <font>
      <i/>
      <sz val="9"/>
      <color rgb="FF808080"/>
      <name val="Arial"/>
    </font>
    <font>
      <b/>
      <sz val="13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3" fontId="6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7" fillId="0" borderId="1" xfId="0" applyFont="1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4" fontId="5" fillId="3" borderId="1" xfId="0" applyNumberFormat="1" applyFont="1" applyFill="1" applyBorder="1"/>
    <xf numFmtId="2" fontId="5" fillId="3" borderId="1" xfId="0" applyNumberFormat="1" applyFont="1" applyFill="1" applyBorder="1"/>
    <xf numFmtId="0" fontId="7" fillId="3" borderId="1" xfId="0" applyFont="1" applyFill="1" applyBorder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4" customWidth="1"/>
    <col min="4" max="5" width="16" customWidth="1"/>
    <col min="6" max="6" width="14" customWidth="1"/>
    <col min="7" max="8" width="12" customWidth="1"/>
    <col min="9" max="9" width="17" customWidth="1"/>
    <col min="10" max="10" width="34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>
        <v>61.24</v>
      </c>
      <c r="C5" s="6">
        <v>3271</v>
      </c>
      <c r="D5" s="7">
        <v>23838</v>
      </c>
      <c r="E5" s="7">
        <v>22737</v>
      </c>
      <c r="F5" s="7">
        <v>11475</v>
      </c>
      <c r="G5" s="8">
        <f t="shared" ref="G5:G39" si="0">D5/1000</f>
        <v>23.838000000000001</v>
      </c>
      <c r="H5" s="8">
        <f t="shared" ref="H5:H39" si="1">E5/1000</f>
        <v>22.736999999999998</v>
      </c>
      <c r="I5" s="9">
        <f t="shared" ref="I5:I39" si="2">IFERROR(D5/F5,"")</f>
        <v>2.0773856209150328</v>
      </c>
      <c r="J5" s="10"/>
    </row>
    <row r="6" spans="1:10" x14ac:dyDescent="0.3">
      <c r="A6" s="11" t="s">
        <v>13</v>
      </c>
      <c r="B6" s="12">
        <v>54.2</v>
      </c>
      <c r="C6" s="13">
        <v>2992</v>
      </c>
      <c r="D6" s="14">
        <v>23624</v>
      </c>
      <c r="E6" s="14">
        <v>22003</v>
      </c>
      <c r="F6" s="14">
        <v>11982</v>
      </c>
      <c r="G6" s="15">
        <f t="shared" si="0"/>
        <v>23.623999999999999</v>
      </c>
      <c r="H6" s="15">
        <f t="shared" si="1"/>
        <v>22.003</v>
      </c>
      <c r="I6" s="16">
        <f t="shared" si="2"/>
        <v>1.9716241028208981</v>
      </c>
      <c r="J6" s="17"/>
    </row>
    <row r="7" spans="1:10" x14ac:dyDescent="0.3">
      <c r="A7" s="4" t="s">
        <v>14</v>
      </c>
      <c r="B7" s="5">
        <v>58.52</v>
      </c>
      <c r="C7" s="6">
        <v>3110</v>
      </c>
      <c r="D7" s="7">
        <v>22053</v>
      </c>
      <c r="E7" s="7">
        <v>21041</v>
      </c>
      <c r="F7" s="7">
        <v>11159</v>
      </c>
      <c r="G7" s="8">
        <f t="shared" si="0"/>
        <v>22.053000000000001</v>
      </c>
      <c r="H7" s="8">
        <f t="shared" si="1"/>
        <v>21.041</v>
      </c>
      <c r="I7" s="9">
        <f t="shared" si="2"/>
        <v>1.9762523523613227</v>
      </c>
      <c r="J7" s="10"/>
    </row>
    <row r="8" spans="1:10" x14ac:dyDescent="0.3">
      <c r="A8" s="11" t="s">
        <v>15</v>
      </c>
      <c r="B8" s="12">
        <v>46.69</v>
      </c>
      <c r="C8" s="13">
        <v>3078</v>
      </c>
      <c r="D8" s="14">
        <v>21384</v>
      </c>
      <c r="E8" s="14">
        <v>20791</v>
      </c>
      <c r="F8" s="14">
        <v>11323</v>
      </c>
      <c r="G8" s="15">
        <f t="shared" si="0"/>
        <v>21.384</v>
      </c>
      <c r="H8" s="15">
        <f t="shared" si="1"/>
        <v>20.791</v>
      </c>
      <c r="I8" s="16">
        <f t="shared" si="2"/>
        <v>1.8885454384880331</v>
      </c>
      <c r="J8" s="17"/>
    </row>
    <row r="9" spans="1:10" x14ac:dyDescent="0.3">
      <c r="A9" s="4" t="s">
        <v>16</v>
      </c>
      <c r="B9" s="5">
        <v>52.01</v>
      </c>
      <c r="C9" s="6">
        <v>3100</v>
      </c>
      <c r="D9" s="7">
        <v>21081</v>
      </c>
      <c r="E9" s="7">
        <v>19730</v>
      </c>
      <c r="F9" s="7">
        <v>10871</v>
      </c>
      <c r="G9" s="8">
        <f t="shared" si="0"/>
        <v>21.081</v>
      </c>
      <c r="H9" s="8">
        <f t="shared" si="1"/>
        <v>19.73</v>
      </c>
      <c r="I9" s="9">
        <f t="shared" si="2"/>
        <v>1.9391960261245516</v>
      </c>
      <c r="J9" s="10"/>
    </row>
    <row r="10" spans="1:10" x14ac:dyDescent="0.3">
      <c r="A10" s="11" t="s">
        <v>17</v>
      </c>
      <c r="B10" s="12">
        <v>61.56</v>
      </c>
      <c r="C10" s="13">
        <v>3161</v>
      </c>
      <c r="D10" s="14">
        <v>21040</v>
      </c>
      <c r="E10" s="14">
        <v>19723</v>
      </c>
      <c r="F10" s="14">
        <v>11726</v>
      </c>
      <c r="G10" s="15">
        <f t="shared" si="0"/>
        <v>21.04</v>
      </c>
      <c r="H10" s="15">
        <f t="shared" si="1"/>
        <v>19.722999999999999</v>
      </c>
      <c r="I10" s="16">
        <f t="shared" si="2"/>
        <v>1.7943032577178919</v>
      </c>
      <c r="J10" s="17"/>
    </row>
    <row r="11" spans="1:10" x14ac:dyDescent="0.3">
      <c r="A11" s="4" t="s">
        <v>18</v>
      </c>
      <c r="B11" s="5">
        <v>70.47</v>
      </c>
      <c r="C11" s="6">
        <v>3481</v>
      </c>
      <c r="D11" s="7">
        <v>20822</v>
      </c>
      <c r="E11" s="7">
        <v>18998</v>
      </c>
      <c r="F11" s="7">
        <v>10886</v>
      </c>
      <c r="G11" s="8">
        <f t="shared" si="0"/>
        <v>20.821999999999999</v>
      </c>
      <c r="H11" s="8">
        <f t="shared" si="1"/>
        <v>18.998000000000001</v>
      </c>
      <c r="I11" s="9">
        <f t="shared" si="2"/>
        <v>1.9127319492926695</v>
      </c>
      <c r="J11" s="10"/>
    </row>
    <row r="12" spans="1:10" x14ac:dyDescent="0.3">
      <c r="A12" s="11" t="s">
        <v>19</v>
      </c>
      <c r="B12" s="12">
        <v>53.65</v>
      </c>
      <c r="C12" s="13">
        <v>3197</v>
      </c>
      <c r="D12" s="14">
        <v>20599</v>
      </c>
      <c r="E12" s="14">
        <v>19148</v>
      </c>
      <c r="F12" s="14">
        <v>11107</v>
      </c>
      <c r="G12" s="15">
        <f t="shared" si="0"/>
        <v>20.599</v>
      </c>
      <c r="H12" s="15">
        <f t="shared" si="1"/>
        <v>19.148</v>
      </c>
      <c r="I12" s="16">
        <f t="shared" si="2"/>
        <v>1.8545962005942198</v>
      </c>
      <c r="J12" s="17"/>
    </row>
    <row r="13" spans="1:10" x14ac:dyDescent="0.3">
      <c r="A13" s="4" t="s">
        <v>20</v>
      </c>
      <c r="B13" s="5">
        <v>67.819999999999993</v>
      </c>
      <c r="C13" s="6">
        <v>4140</v>
      </c>
      <c r="D13" s="7">
        <v>19774</v>
      </c>
      <c r="E13" s="7">
        <v>17939</v>
      </c>
      <c r="F13" s="7">
        <v>10009</v>
      </c>
      <c r="G13" s="8">
        <f t="shared" si="0"/>
        <v>19.774000000000001</v>
      </c>
      <c r="H13" s="8">
        <f t="shared" si="1"/>
        <v>17.939</v>
      </c>
      <c r="I13" s="9">
        <f t="shared" si="2"/>
        <v>1.9756219402537716</v>
      </c>
      <c r="J13" s="10"/>
    </row>
    <row r="14" spans="1:10" x14ac:dyDescent="0.3">
      <c r="A14" s="11" t="s">
        <v>21</v>
      </c>
      <c r="B14" s="12">
        <v>263.77999999999997</v>
      </c>
      <c r="C14" s="13">
        <v>6934</v>
      </c>
      <c r="D14" s="14">
        <v>19231</v>
      </c>
      <c r="E14" s="14">
        <v>17330</v>
      </c>
      <c r="F14" s="14">
        <v>9384</v>
      </c>
      <c r="G14" s="15">
        <f t="shared" si="0"/>
        <v>19.231000000000002</v>
      </c>
      <c r="H14" s="15">
        <f t="shared" si="1"/>
        <v>17.329999999999998</v>
      </c>
      <c r="I14" s="16">
        <f t="shared" si="2"/>
        <v>2.0493393009377665</v>
      </c>
      <c r="J14" s="17"/>
    </row>
    <row r="15" spans="1:10" x14ac:dyDescent="0.3">
      <c r="A15" s="4" t="s">
        <v>22</v>
      </c>
      <c r="B15" s="5">
        <v>143</v>
      </c>
      <c r="C15" s="6">
        <v>5499</v>
      </c>
      <c r="D15" s="7">
        <v>16883</v>
      </c>
      <c r="E15" s="7">
        <v>15960</v>
      </c>
      <c r="F15" s="7">
        <v>8307</v>
      </c>
      <c r="G15" s="8">
        <f t="shared" si="0"/>
        <v>16.882999999999999</v>
      </c>
      <c r="H15" s="8">
        <f t="shared" si="1"/>
        <v>15.96</v>
      </c>
      <c r="I15" s="9">
        <f t="shared" si="2"/>
        <v>2.0323823281569759</v>
      </c>
      <c r="J15" s="10"/>
    </row>
    <row r="16" spans="1:10" x14ac:dyDescent="0.3">
      <c r="A16" s="11" t="s">
        <v>23</v>
      </c>
      <c r="B16" s="12">
        <v>95.86</v>
      </c>
      <c r="C16" s="13">
        <v>4455</v>
      </c>
      <c r="D16" s="14">
        <v>16883</v>
      </c>
      <c r="E16" s="14">
        <v>14420</v>
      </c>
      <c r="F16" s="14">
        <v>7221</v>
      </c>
      <c r="G16" s="15">
        <f t="shared" si="0"/>
        <v>16.882999999999999</v>
      </c>
      <c r="H16" s="15">
        <f t="shared" si="1"/>
        <v>14.42</v>
      </c>
      <c r="I16" s="16">
        <f t="shared" si="2"/>
        <v>2.3380418224622628</v>
      </c>
      <c r="J16" s="17"/>
    </row>
    <row r="17" spans="1:10" x14ac:dyDescent="0.3">
      <c r="A17" s="4" t="s">
        <v>24</v>
      </c>
      <c r="B17" s="5">
        <v>99.15</v>
      </c>
      <c r="C17" s="6">
        <v>4640</v>
      </c>
      <c r="D17" s="7">
        <v>16878</v>
      </c>
      <c r="E17" s="7">
        <v>15986</v>
      </c>
      <c r="F17" s="7">
        <v>8248</v>
      </c>
      <c r="G17" s="8">
        <f t="shared" si="0"/>
        <v>16.878</v>
      </c>
      <c r="H17" s="8">
        <f t="shared" si="1"/>
        <v>15.986000000000001</v>
      </c>
      <c r="I17" s="9">
        <f t="shared" si="2"/>
        <v>2.04631425800194</v>
      </c>
      <c r="J17" s="10"/>
    </row>
    <row r="18" spans="1:10" x14ac:dyDescent="0.3">
      <c r="A18" s="11" t="s">
        <v>25</v>
      </c>
      <c r="B18" s="12">
        <v>96.37</v>
      </c>
      <c r="C18" s="13">
        <v>4536</v>
      </c>
      <c r="D18" s="14">
        <v>16878</v>
      </c>
      <c r="E18" s="14">
        <v>15986</v>
      </c>
      <c r="F18" s="14">
        <v>8256</v>
      </c>
      <c r="G18" s="15">
        <f t="shared" si="0"/>
        <v>16.878</v>
      </c>
      <c r="H18" s="15">
        <f t="shared" si="1"/>
        <v>15.986000000000001</v>
      </c>
      <c r="I18" s="16">
        <f t="shared" si="2"/>
        <v>2.0443313953488373</v>
      </c>
      <c r="J18" s="17"/>
    </row>
    <row r="19" spans="1:10" x14ac:dyDescent="0.3">
      <c r="A19" s="4" t="s">
        <v>26</v>
      </c>
      <c r="B19" s="5">
        <v>54.78</v>
      </c>
      <c r="C19" s="6">
        <v>3399</v>
      </c>
      <c r="D19" s="7">
        <v>16084</v>
      </c>
      <c r="E19" s="7">
        <v>15612</v>
      </c>
      <c r="F19" s="7">
        <v>9205</v>
      </c>
      <c r="G19" s="8">
        <f t="shared" si="0"/>
        <v>16.084</v>
      </c>
      <c r="H19" s="8">
        <f t="shared" si="1"/>
        <v>15.612</v>
      </c>
      <c r="I19" s="9">
        <f t="shared" si="2"/>
        <v>1.7473112438891907</v>
      </c>
      <c r="J19" s="10"/>
    </row>
    <row r="20" spans="1:10" x14ac:dyDescent="0.3">
      <c r="A20" s="11" t="s">
        <v>27</v>
      </c>
      <c r="B20" s="12">
        <v>43.25</v>
      </c>
      <c r="C20" s="13">
        <v>3108</v>
      </c>
      <c r="D20" s="14">
        <v>16084</v>
      </c>
      <c r="E20" s="14">
        <v>15583</v>
      </c>
      <c r="F20" s="14">
        <v>8461</v>
      </c>
      <c r="G20" s="15">
        <f t="shared" si="0"/>
        <v>16.084</v>
      </c>
      <c r="H20" s="15">
        <f t="shared" si="1"/>
        <v>15.583</v>
      </c>
      <c r="I20" s="16">
        <f t="shared" si="2"/>
        <v>1.9009573336485048</v>
      </c>
      <c r="J20" s="17"/>
    </row>
    <row r="21" spans="1:10" x14ac:dyDescent="0.3">
      <c r="A21" s="4" t="s">
        <v>28</v>
      </c>
      <c r="B21" s="5">
        <v>63.94</v>
      </c>
      <c r="C21" s="6">
        <v>3736</v>
      </c>
      <c r="D21" s="7">
        <v>15665</v>
      </c>
      <c r="E21" s="7">
        <v>14658</v>
      </c>
      <c r="F21" s="7">
        <v>9056</v>
      </c>
      <c r="G21" s="8">
        <f t="shared" si="0"/>
        <v>15.664999999999999</v>
      </c>
      <c r="H21" s="8">
        <f t="shared" si="1"/>
        <v>14.657999999999999</v>
      </c>
      <c r="I21" s="9">
        <f t="shared" si="2"/>
        <v>1.7297924028268552</v>
      </c>
      <c r="J21" s="10"/>
    </row>
    <row r="22" spans="1:10" x14ac:dyDescent="0.3">
      <c r="A22" s="11" t="s">
        <v>29</v>
      </c>
      <c r="B22" s="12">
        <v>50.64</v>
      </c>
      <c r="C22" s="13">
        <v>3002</v>
      </c>
      <c r="D22" s="14">
        <v>15612</v>
      </c>
      <c r="E22" s="14">
        <v>13948</v>
      </c>
      <c r="F22" s="14">
        <v>8442</v>
      </c>
      <c r="G22" s="15">
        <f t="shared" si="0"/>
        <v>15.612</v>
      </c>
      <c r="H22" s="15">
        <f t="shared" si="1"/>
        <v>13.948</v>
      </c>
      <c r="I22" s="16">
        <f t="shared" si="2"/>
        <v>1.8493248045486852</v>
      </c>
      <c r="J22" s="17"/>
    </row>
    <row r="23" spans="1:10" x14ac:dyDescent="0.3">
      <c r="A23" s="4" t="s">
        <v>30</v>
      </c>
      <c r="B23" s="5">
        <v>114.58</v>
      </c>
      <c r="C23" s="6">
        <v>5085</v>
      </c>
      <c r="D23" s="7">
        <v>14832</v>
      </c>
      <c r="E23" s="7">
        <v>13269</v>
      </c>
      <c r="F23" s="7">
        <v>8501</v>
      </c>
      <c r="G23" s="8">
        <f t="shared" si="0"/>
        <v>14.832000000000001</v>
      </c>
      <c r="H23" s="8">
        <f t="shared" si="1"/>
        <v>13.269</v>
      </c>
      <c r="I23" s="9">
        <f t="shared" si="2"/>
        <v>1.7447359134219504</v>
      </c>
      <c r="J23" s="10"/>
    </row>
    <row r="24" spans="1:10" x14ac:dyDescent="0.3">
      <c r="A24" s="11" t="s">
        <v>31</v>
      </c>
      <c r="B24" s="12">
        <v>114.01</v>
      </c>
      <c r="C24" s="13">
        <v>5071</v>
      </c>
      <c r="D24" s="14">
        <v>14832</v>
      </c>
      <c r="E24" s="14">
        <v>14242</v>
      </c>
      <c r="F24" s="14">
        <v>9352</v>
      </c>
      <c r="G24" s="15">
        <f t="shared" si="0"/>
        <v>14.832000000000001</v>
      </c>
      <c r="H24" s="15">
        <f t="shared" si="1"/>
        <v>14.242000000000001</v>
      </c>
      <c r="I24" s="16">
        <f t="shared" si="2"/>
        <v>1.5859709153122328</v>
      </c>
      <c r="J24" s="17"/>
    </row>
    <row r="25" spans="1:10" x14ac:dyDescent="0.3">
      <c r="A25" s="4" t="s">
        <v>32</v>
      </c>
      <c r="B25" s="5">
        <v>73.88</v>
      </c>
      <c r="C25" s="6">
        <v>4134</v>
      </c>
      <c r="D25" s="7">
        <v>14802</v>
      </c>
      <c r="E25" s="7">
        <v>13208</v>
      </c>
      <c r="F25" s="7">
        <v>7712</v>
      </c>
      <c r="G25" s="8">
        <f t="shared" si="0"/>
        <v>14.802</v>
      </c>
      <c r="H25" s="8">
        <f t="shared" si="1"/>
        <v>13.208</v>
      </c>
      <c r="I25" s="9">
        <f t="shared" si="2"/>
        <v>1.9193464730290457</v>
      </c>
      <c r="J25" s="10"/>
    </row>
    <row r="26" spans="1:10" x14ac:dyDescent="0.3">
      <c r="A26" s="11" t="s">
        <v>33</v>
      </c>
      <c r="B26" s="12">
        <v>148.91</v>
      </c>
      <c r="C26" s="13">
        <v>5858</v>
      </c>
      <c r="D26" s="14">
        <v>14802</v>
      </c>
      <c r="E26" s="14">
        <v>13208</v>
      </c>
      <c r="F26" s="14">
        <v>7712</v>
      </c>
      <c r="G26" s="15">
        <f t="shared" si="0"/>
        <v>14.802</v>
      </c>
      <c r="H26" s="15">
        <f t="shared" si="1"/>
        <v>13.208</v>
      </c>
      <c r="I26" s="16">
        <f t="shared" si="2"/>
        <v>1.9193464730290457</v>
      </c>
      <c r="J26" s="17"/>
    </row>
    <row r="27" spans="1:10" x14ac:dyDescent="0.3">
      <c r="A27" s="4" t="s">
        <v>34</v>
      </c>
      <c r="B27" s="5">
        <v>264.72000000000003</v>
      </c>
      <c r="C27" s="6">
        <v>6929</v>
      </c>
      <c r="D27" s="7">
        <v>14802</v>
      </c>
      <c r="E27" s="7">
        <v>11292</v>
      </c>
      <c r="F27" s="7">
        <v>6957</v>
      </c>
      <c r="G27" s="8">
        <f t="shared" si="0"/>
        <v>14.802</v>
      </c>
      <c r="H27" s="8">
        <f t="shared" si="1"/>
        <v>11.292</v>
      </c>
      <c r="I27" s="9">
        <f t="shared" si="2"/>
        <v>2.1276412246658043</v>
      </c>
      <c r="J27" s="10"/>
    </row>
    <row r="28" spans="1:10" x14ac:dyDescent="0.3">
      <c r="A28" s="11" t="s">
        <v>35</v>
      </c>
      <c r="B28" s="12">
        <v>51.15</v>
      </c>
      <c r="C28" s="13">
        <v>3147</v>
      </c>
      <c r="D28" s="14">
        <v>14747</v>
      </c>
      <c r="E28" s="14">
        <v>14349</v>
      </c>
      <c r="F28" s="14">
        <v>8842</v>
      </c>
      <c r="G28" s="15">
        <f t="shared" si="0"/>
        <v>14.747</v>
      </c>
      <c r="H28" s="15">
        <f t="shared" si="1"/>
        <v>14.349</v>
      </c>
      <c r="I28" s="16">
        <f t="shared" si="2"/>
        <v>1.6678353313729926</v>
      </c>
      <c r="J28" s="17"/>
    </row>
    <row r="29" spans="1:10" x14ac:dyDescent="0.3">
      <c r="A29" s="4" t="s">
        <v>36</v>
      </c>
      <c r="B29" s="5">
        <v>51.45</v>
      </c>
      <c r="C29" s="6">
        <v>3530</v>
      </c>
      <c r="D29" s="7">
        <v>14709</v>
      </c>
      <c r="E29" s="7">
        <v>14709</v>
      </c>
      <c r="F29" s="7">
        <v>9210</v>
      </c>
      <c r="G29" s="8">
        <f t="shared" si="0"/>
        <v>14.709</v>
      </c>
      <c r="H29" s="8">
        <f t="shared" si="1"/>
        <v>14.709</v>
      </c>
      <c r="I29" s="9">
        <f t="shared" si="2"/>
        <v>1.5970684039087948</v>
      </c>
      <c r="J29" s="10"/>
    </row>
    <row r="30" spans="1:10" x14ac:dyDescent="0.3">
      <c r="A30" s="11" t="s">
        <v>37</v>
      </c>
      <c r="B30" s="12">
        <v>109.74</v>
      </c>
      <c r="C30" s="13">
        <v>5134</v>
      </c>
      <c r="D30" s="14">
        <v>14708</v>
      </c>
      <c r="E30" s="14">
        <v>13783</v>
      </c>
      <c r="F30" s="14">
        <v>10367</v>
      </c>
      <c r="G30" s="15">
        <f t="shared" si="0"/>
        <v>14.708</v>
      </c>
      <c r="H30" s="15">
        <f t="shared" si="1"/>
        <v>13.782999999999999</v>
      </c>
      <c r="I30" s="16">
        <f t="shared" si="2"/>
        <v>1.4187325166393363</v>
      </c>
      <c r="J30" s="17"/>
    </row>
    <row r="31" spans="1:10" x14ac:dyDescent="0.3">
      <c r="A31" s="4" t="s">
        <v>38</v>
      </c>
      <c r="B31" s="5">
        <v>108.06</v>
      </c>
      <c r="C31" s="6">
        <v>5283</v>
      </c>
      <c r="D31" s="7">
        <v>14601</v>
      </c>
      <c r="E31" s="7">
        <v>13332</v>
      </c>
      <c r="F31" s="7">
        <v>9732</v>
      </c>
      <c r="G31" s="8">
        <f t="shared" si="0"/>
        <v>14.601000000000001</v>
      </c>
      <c r="H31" s="8">
        <f t="shared" si="1"/>
        <v>13.332000000000001</v>
      </c>
      <c r="I31" s="9">
        <f t="shared" si="2"/>
        <v>1.500308261405672</v>
      </c>
      <c r="J31" s="10"/>
    </row>
    <row r="32" spans="1:10" x14ac:dyDescent="0.3">
      <c r="A32" s="11" t="s">
        <v>39</v>
      </c>
      <c r="B32" s="12">
        <v>113.04</v>
      </c>
      <c r="C32" s="13">
        <v>5041</v>
      </c>
      <c r="D32" s="14">
        <v>14601</v>
      </c>
      <c r="E32" s="14">
        <v>12353</v>
      </c>
      <c r="F32" s="14">
        <v>8850</v>
      </c>
      <c r="G32" s="15">
        <f t="shared" si="0"/>
        <v>14.601000000000001</v>
      </c>
      <c r="H32" s="15">
        <f t="shared" si="1"/>
        <v>12.353</v>
      </c>
      <c r="I32" s="16">
        <f t="shared" si="2"/>
        <v>1.6498305084745764</v>
      </c>
      <c r="J32" s="17"/>
    </row>
    <row r="33" spans="1:10" x14ac:dyDescent="0.3">
      <c r="A33" s="4" t="s">
        <v>40</v>
      </c>
      <c r="B33" s="5">
        <v>110.23</v>
      </c>
      <c r="C33" s="6">
        <v>5065</v>
      </c>
      <c r="D33" s="7">
        <v>14572</v>
      </c>
      <c r="E33" s="7">
        <v>12412</v>
      </c>
      <c r="F33" s="7">
        <v>9477</v>
      </c>
      <c r="G33" s="8">
        <f t="shared" si="0"/>
        <v>14.571999999999999</v>
      </c>
      <c r="H33" s="8">
        <f t="shared" si="1"/>
        <v>12.412000000000001</v>
      </c>
      <c r="I33" s="9">
        <f t="shared" si="2"/>
        <v>1.5376173894692413</v>
      </c>
      <c r="J33" s="10"/>
    </row>
    <row r="34" spans="1:10" x14ac:dyDescent="0.3">
      <c r="A34" s="11" t="s">
        <v>41</v>
      </c>
      <c r="B34" s="12">
        <v>31.74</v>
      </c>
      <c r="C34" s="13">
        <v>2739</v>
      </c>
      <c r="D34" s="14">
        <v>14463</v>
      </c>
      <c r="E34" s="14">
        <v>13923</v>
      </c>
      <c r="F34" s="14">
        <v>7775</v>
      </c>
      <c r="G34" s="15">
        <f t="shared" si="0"/>
        <v>14.462999999999999</v>
      </c>
      <c r="H34" s="15">
        <f t="shared" si="1"/>
        <v>13.923</v>
      </c>
      <c r="I34" s="16">
        <f t="shared" si="2"/>
        <v>1.8601929260450161</v>
      </c>
      <c r="J34" s="17"/>
    </row>
    <row r="35" spans="1:10" x14ac:dyDescent="0.3">
      <c r="A35" s="4" t="s">
        <v>42</v>
      </c>
      <c r="B35" s="5">
        <v>14.18</v>
      </c>
      <c r="C35" s="6">
        <v>1756</v>
      </c>
      <c r="D35" s="7">
        <v>14134</v>
      </c>
      <c r="E35" s="7">
        <v>13399</v>
      </c>
      <c r="F35" s="7">
        <v>7912</v>
      </c>
      <c r="G35" s="8">
        <f t="shared" si="0"/>
        <v>14.134</v>
      </c>
      <c r="H35" s="8">
        <f t="shared" si="1"/>
        <v>13.398999999999999</v>
      </c>
      <c r="I35" s="9">
        <f t="shared" si="2"/>
        <v>1.7864004044489383</v>
      </c>
      <c r="J35" s="10"/>
    </row>
    <row r="36" spans="1:10" x14ac:dyDescent="0.3">
      <c r="A36" s="11" t="s">
        <v>43</v>
      </c>
      <c r="B36" s="12">
        <v>100.42</v>
      </c>
      <c r="C36" s="13">
        <v>5093</v>
      </c>
      <c r="D36" s="14">
        <v>13645</v>
      </c>
      <c r="E36" s="14">
        <v>12352</v>
      </c>
      <c r="F36" s="14">
        <v>7977</v>
      </c>
      <c r="G36" s="15">
        <f t="shared" si="0"/>
        <v>13.645</v>
      </c>
      <c r="H36" s="15">
        <f t="shared" si="1"/>
        <v>12.352</v>
      </c>
      <c r="I36" s="16">
        <f t="shared" si="2"/>
        <v>1.7105428105804188</v>
      </c>
      <c r="J36" s="17"/>
    </row>
    <row r="37" spans="1:10" x14ac:dyDescent="0.3">
      <c r="A37" s="4" t="s">
        <v>44</v>
      </c>
      <c r="B37" s="5">
        <v>51.93</v>
      </c>
      <c r="C37" s="6">
        <v>3411</v>
      </c>
      <c r="D37" s="7">
        <v>13645</v>
      </c>
      <c r="E37" s="7">
        <v>12323</v>
      </c>
      <c r="F37" s="7">
        <v>7991</v>
      </c>
      <c r="G37" s="8">
        <f t="shared" si="0"/>
        <v>13.645</v>
      </c>
      <c r="H37" s="8">
        <f t="shared" si="1"/>
        <v>12.323</v>
      </c>
      <c r="I37" s="9">
        <f t="shared" si="2"/>
        <v>1.7075459892378926</v>
      </c>
      <c r="J37" s="10"/>
    </row>
    <row r="38" spans="1:10" x14ac:dyDescent="0.3">
      <c r="A38" s="11" t="s">
        <v>45</v>
      </c>
      <c r="B38" s="12">
        <v>210.74</v>
      </c>
      <c r="C38" s="13">
        <v>9468</v>
      </c>
      <c r="D38" s="14">
        <v>12696</v>
      </c>
      <c r="E38" s="14">
        <v>10412</v>
      </c>
      <c r="F38" s="14">
        <v>7561</v>
      </c>
      <c r="G38" s="15">
        <f t="shared" si="0"/>
        <v>12.696</v>
      </c>
      <c r="H38" s="15">
        <f t="shared" si="1"/>
        <v>10.412000000000001</v>
      </c>
      <c r="I38" s="16">
        <f t="shared" si="2"/>
        <v>1.6791429705065468</v>
      </c>
      <c r="J38" s="17"/>
    </row>
    <row r="39" spans="1:10" x14ac:dyDescent="0.3">
      <c r="A39" s="4" t="s">
        <v>46</v>
      </c>
      <c r="B39" s="5">
        <v>107.45</v>
      </c>
      <c r="C39" s="6">
        <v>5565</v>
      </c>
      <c r="D39" s="7">
        <v>11425</v>
      </c>
      <c r="E39" s="7">
        <v>10040</v>
      </c>
      <c r="F39" s="7">
        <v>7077</v>
      </c>
      <c r="G39" s="8">
        <f t="shared" si="0"/>
        <v>11.425000000000001</v>
      </c>
      <c r="H39" s="8">
        <f t="shared" si="1"/>
        <v>10.039999999999999</v>
      </c>
      <c r="I39" s="9">
        <f t="shared" si="2"/>
        <v>1.6143846262540624</v>
      </c>
      <c r="J39" s="10"/>
    </row>
    <row r="41" spans="1:10" x14ac:dyDescent="0.3">
      <c r="A41" s="18" t="s">
        <v>47</v>
      </c>
      <c r="B41" s="19">
        <f>SUM(B5:B39)</f>
        <v>3213.1599999999989</v>
      </c>
      <c r="D41" s="20">
        <f>MAX(D5:D39)</f>
        <v>23838</v>
      </c>
      <c r="G41" s="21">
        <f>IFERROR(MAX(G5:G39),"")</f>
        <v>23.838000000000001</v>
      </c>
      <c r="I41" s="22">
        <f>IFERROR(AVERAGE(I5:I39),"")</f>
        <v>1.8329912833197421</v>
      </c>
    </row>
    <row r="42" spans="1:10" x14ac:dyDescent="0.3">
      <c r="A42" s="23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16.8" x14ac:dyDescent="0.3">
      <c r="A1" s="24" t="s">
        <v>49</v>
      </c>
    </row>
    <row r="3" spans="1:2" ht="30" customHeight="1" x14ac:dyDescent="0.3">
      <c r="A3" s="25" t="s">
        <v>50</v>
      </c>
      <c r="B3" s="26" t="s">
        <v>51</v>
      </c>
    </row>
    <row r="4" spans="1:2" ht="30" customHeight="1" x14ac:dyDescent="0.3">
      <c r="A4" s="25" t="s">
        <v>52</v>
      </c>
      <c r="B4" s="26" t="s">
        <v>53</v>
      </c>
    </row>
    <row r="5" spans="1:2" ht="30" customHeight="1" x14ac:dyDescent="0.3">
      <c r="A5" s="25" t="s">
        <v>54</v>
      </c>
      <c r="B5" s="26" t="s">
        <v>55</v>
      </c>
    </row>
    <row r="6" spans="1:2" ht="30" customHeight="1" x14ac:dyDescent="0.3">
      <c r="A6" s="25" t="s">
        <v>56</v>
      </c>
      <c r="B6" s="26" t="s">
        <v>57</v>
      </c>
    </row>
    <row r="7" spans="1:2" ht="30" customHeight="1" x14ac:dyDescent="0.3">
      <c r="A7" s="25" t="s">
        <v>58</v>
      </c>
      <c r="B7" s="26" t="s">
        <v>59</v>
      </c>
    </row>
    <row r="8" spans="1:2" ht="30" customHeight="1" x14ac:dyDescent="0.3">
      <c r="A8" s="25" t="s">
        <v>60</v>
      </c>
      <c r="B8" s="26" t="s">
        <v>61</v>
      </c>
    </row>
    <row r="9" spans="1:2" ht="30" customHeight="1" x14ac:dyDescent="0.3">
      <c r="A9" s="25" t="s">
        <v>62</v>
      </c>
      <c r="B9" s="26" t="s">
        <v>63</v>
      </c>
    </row>
    <row r="10" spans="1:2" ht="30" customHeight="1" x14ac:dyDescent="0.3">
      <c r="A10" s="25" t="s">
        <v>64</v>
      </c>
      <c r="B10" s="26" t="s">
        <v>65</v>
      </c>
    </row>
    <row r="11" spans="1:2" ht="30" customHeight="1" x14ac:dyDescent="0.3">
      <c r="A11" s="25" t="s">
        <v>66</v>
      </c>
      <c r="B11" s="26" t="s">
        <v>67</v>
      </c>
    </row>
    <row r="12" spans="1:2" ht="30" customHeight="1" x14ac:dyDescent="0.3">
      <c r="A12" s="25" t="s">
        <v>68</v>
      </c>
      <c r="B12" s="2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Distâncias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Maxsander dos Santos Vilela</cp:lastModifiedBy>
  <dcterms:created xsi:type="dcterms:W3CDTF">2026-09-17T16:11:37Z</dcterms:created>
  <dcterms:modified xsi:type="dcterms:W3CDTF">2026-09-17T16:11:52Z</dcterms:modified>
</cp:coreProperties>
</file>