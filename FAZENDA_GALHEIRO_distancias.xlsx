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E774EFA0-1279-4AC4-870F-736BC17235A9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<sst xmlns="http://schemas.openxmlformats.org/spreadsheetml/2006/main" count="139" uniqueCount="139">
  <si>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</si>
  <si>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</si>
  <si>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</si>
  <si>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</si>
  <si>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</si>
  <si>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</si>
  <si>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</si>
  <si>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</si>
  <si>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</si>
  <si>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</si>
  <si>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</si>
  <si>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</si>
  <si>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</si>
  <si>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QL-14</t>
  </si>
  <si>
    <t>QL-13</t>
  </si>
  <si>
    <t>R-08</t>
  </si>
  <si>
    <t>R-18</t>
  </si>
  <si>
    <t>R-44</t>
  </si>
  <si>
    <t>R-17A</t>
  </si>
  <si>
    <t>R-05</t>
  </si>
  <si>
    <t>R-05A</t>
  </si>
  <si>
    <t>R-41</t>
  </si>
  <si>
    <t>R-42</t>
  </si>
  <si>
    <t>R-45</t>
  </si>
  <si>
    <t>QL-01</t>
  </si>
  <si>
    <t>R-47</t>
  </si>
  <si>
    <t>QL-06</t>
  </si>
  <si>
    <t>R-48</t>
  </si>
  <si>
    <t>QL-11</t>
  </si>
  <si>
    <t>QL-05</t>
  </si>
  <si>
    <t>R-42A</t>
  </si>
  <si>
    <t>QL-07</t>
  </si>
  <si>
    <t>QL-04</t>
  </si>
  <si>
    <t>R-46</t>
  </si>
  <si>
    <t>QL-02</t>
  </si>
  <si>
    <t>QL-03</t>
  </si>
  <si>
    <t>R-46A</t>
  </si>
  <si>
    <t>G-06A</t>
  </si>
  <si>
    <t>G-07</t>
  </si>
  <si>
    <t>G-15</t>
  </si>
  <si>
    <t>G-08A</t>
  </si>
  <si>
    <t>R-46B</t>
  </si>
  <si>
    <t>G-16</t>
  </si>
  <si>
    <t>R-06</t>
  </si>
  <si>
    <t>QL-09</t>
  </si>
  <si>
    <t>QL-10</t>
  </si>
  <si>
    <t>G-08</t>
  </si>
  <si>
    <t>QL-08</t>
  </si>
  <si>
    <t>G-03</t>
  </si>
  <si>
    <t>G-04</t>
  </si>
  <si>
    <t>R-20</t>
  </si>
  <si>
    <t>R-45A</t>
  </si>
  <si>
    <t>R-07</t>
  </si>
  <si>
    <t>R-02</t>
  </si>
  <si>
    <t>R-04</t>
  </si>
  <si>
    <t>R-32</t>
  </si>
  <si>
    <t>R-31</t>
  </si>
  <si>
    <t>G-12</t>
  </si>
  <si>
    <t>G-14A</t>
  </si>
  <si>
    <t>G-02</t>
  </si>
  <si>
    <t>G-01</t>
  </si>
  <si>
    <t>G-0910</t>
  </si>
  <si>
    <t>G-05</t>
  </si>
  <si>
    <t>R-33</t>
  </si>
  <si>
    <t>R-30</t>
  </si>
  <si>
    <t>R-03</t>
  </si>
  <si>
    <t>R-43</t>
  </si>
  <si>
    <t>R-29</t>
  </si>
  <si>
    <t>R-37</t>
  </si>
  <si>
    <t>R-14</t>
  </si>
  <si>
    <t>R-15</t>
  </si>
  <si>
    <t>R-24</t>
  </si>
  <si>
    <t>R-26</t>
  </si>
  <si>
    <t>R-25</t>
  </si>
  <si>
    <t>R-36</t>
  </si>
  <si>
    <t>R-01</t>
  </si>
  <si>
    <t>G-23</t>
  </si>
  <si>
    <t>R-22</t>
  </si>
  <si>
    <t>G-11</t>
  </si>
  <si>
    <t>R-22A</t>
  </si>
  <si>
    <t>R-40</t>
  </si>
  <si>
    <t>R-19 20</t>
  </si>
  <si>
    <t>R-35</t>
  </si>
  <si>
    <t>R-17B</t>
  </si>
  <si>
    <t>inclui 161 m de ligação suposta — confirmar</t>
  </si>
  <si>
    <t>G-24A</t>
  </si>
  <si>
    <t>G-24B</t>
  </si>
  <si>
    <t>T-CONF</t>
  </si>
  <si>
    <t>G-17</t>
  </si>
  <si>
    <t>R-21</t>
  </si>
  <si>
    <t>R-16</t>
  </si>
  <si>
    <t>G-18</t>
  </si>
  <si>
    <t>R-34A</t>
  </si>
  <si>
    <t>R-09</t>
  </si>
  <si>
    <t>R-23</t>
  </si>
  <si>
    <t>G-13A</t>
  </si>
  <si>
    <t>G-13B</t>
  </si>
  <si>
    <t>R-19A</t>
  </si>
  <si>
    <t>R-27</t>
  </si>
  <si>
    <t>R-28</t>
  </si>
  <si>
    <t>R-34</t>
  </si>
  <si>
    <t>G-14B</t>
  </si>
  <si>
    <t>G-26</t>
  </si>
  <si>
    <t>G-20</t>
  </si>
  <si>
    <t>G-27</t>
  </si>
  <si>
    <t>G-19</t>
  </si>
  <si>
    <t>G-21</t>
  </si>
  <si>
    <t>G-29</t>
  </si>
  <si>
    <t>G-25</t>
  </si>
  <si>
    <t>G-28</t>
  </si>
  <si>
    <t>R-13</t>
  </si>
  <si>
    <t>G-08B</t>
  </si>
  <si>
    <t>G-06B</t>
  </si>
  <si>
    <t>R-12</t>
  </si>
  <si>
    <t>PAST</t>
  </si>
  <si>
    <t>G-22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</si>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</sst>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9" fillId="0" borderId="0" xfId="0" applyFont="1"/>
    <xf numFmtId="0" fontId="10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32400</v>
      </c>
      <c r="E5" s="7">
        <v>23094</v>
      </c>
      <c r="F5" s="7">
        <v>15632</v>
      </c>
      <c r="G5" s="8">
        <f t="shared" ref="G5:G36" si="0">D5/1000</f>
        <v>32.4</v>
      </c>
      <c r="H5" s="8">
        <f t="shared" ref="H5:H36" si="1">E5/1000</f>
        <v>23.094000000000001</v>
      </c>
      <c r="I5" s="9">
        <f t="shared" ref="I5:I36" si="2">IFERROR(D5/F5,"")</f>
        <v>2.0726714431934492</v>
      </c>
      <c r="J5" s="10"/>
    </row>
    <row r="6" spans="1:10" x14ac:dyDescent="0.3">
      <c r="A6" s="11" t="s">
        <v>13</v>
      </c>
      <c r="B6" s="12">
        <v>264.92</v>
      </c>
      <c r="C6" s="13">
        <v>6610</v>
      </c>
      <c r="D6" s="14">
        <v>29782</v>
      </c>
      <c r="E6" s="14">
        <v>23582</v>
      </c>
      <c r="F6" s="14">
        <v>18196</v>
      </c>
      <c r="G6" s="15">
        <f t="shared" si="0"/>
        <v>29.782</v>
      </c>
      <c r="H6" s="15">
        <f t="shared" si="1"/>
        <v>23.582000000000001</v>
      </c>
      <c r="I6" s="16">
        <f t="shared" si="2"/>
        <v>1.6367333479885688</v>
      </c>
      <c r="J6" s="17"/>
    </row>
    <row r="7" spans="1:10" x14ac:dyDescent="0.3">
      <c r="A7" s="4" t="s">
        <v>14</v>
      </c>
      <c r="B7" s="5">
        <v>206.71</v>
      </c>
      <c r="C7" s="6">
        <v>5758</v>
      </c>
      <c r="D7" s="7">
        <v>29452</v>
      </c>
      <c r="E7" s="7">
        <v>22230</v>
      </c>
      <c r="F7" s="7">
        <v>16801</v>
      </c>
      <c r="G7" s="8">
        <f t="shared" si="0"/>
        <v>29.452000000000002</v>
      </c>
      <c r="H7" s="8">
        <f t="shared" si="1"/>
        <v>22.23</v>
      </c>
      <c r="I7" s="9">
        <f t="shared" si="2"/>
        <v>1.7529908933992024</v>
      </c>
      <c r="J7" s="10"/>
    </row>
    <row r="8" spans="1:10" x14ac:dyDescent="0.3">
      <c r="A8" s="11" t="s">
        <v>15</v>
      </c>
      <c r="B8" s="12">
        <v>64.98</v>
      </c>
      <c r="C8" s="13">
        <v>4902</v>
      </c>
      <c r="D8" s="14">
        <v>21419</v>
      </c>
      <c r="E8" s="14">
        <v>14343</v>
      </c>
      <c r="F8" s="14">
        <v>7606</v>
      </c>
      <c r="G8" s="15">
        <f t="shared" si="0"/>
        <v>21.419</v>
      </c>
      <c r="H8" s="15">
        <f t="shared" si="1"/>
        <v>14.343</v>
      </c>
      <c r="I8" s="16">
        <f t="shared" si="2"/>
        <v>2.8160662634762028</v>
      </c>
      <c r="J8" s="17"/>
    </row>
    <row r="9" spans="1:10" x14ac:dyDescent="0.3">
      <c r="A9" s="4" t="s">
        <v>16</v>
      </c>
      <c r="B9" s="5">
        <v>153.22999999999999</v>
      </c>
      <c r="C9" s="6">
        <v>5829</v>
      </c>
      <c r="D9" s="7">
        <v>21391</v>
      </c>
      <c r="E9" s="7">
        <v>10899</v>
      </c>
      <c r="F9" s="7">
        <v>9272</v>
      </c>
      <c r="G9" s="8">
        <f t="shared" si="0"/>
        <v>21.390999999999998</v>
      </c>
      <c r="H9" s="8">
        <f t="shared" si="1"/>
        <v>10.898999999999999</v>
      </c>
      <c r="I9" s="9">
        <f t="shared" si="2"/>
        <v>2.3070534943917171</v>
      </c>
      <c r="J9" s="10"/>
    </row>
    <row r="10" spans="1:10" x14ac:dyDescent="0.3">
      <c r="A10" s="11" t="s">
        <v>17</v>
      </c>
      <c r="B10" s="12">
        <v>80.599999999999994</v>
      </c>
      <c r="C10" s="13">
        <v>5657</v>
      </c>
      <c r="D10" s="14">
        <v>21367</v>
      </c>
      <c r="E10" s="14">
        <v>10504</v>
      </c>
      <c r="F10" s="14">
        <v>8590</v>
      </c>
      <c r="G10" s="15">
        <f t="shared" si="0"/>
        <v>21.367000000000001</v>
      </c>
      <c r="H10" s="15">
        <f t="shared" si="1"/>
        <v>10.504</v>
      </c>
      <c r="I10" s="16">
        <f t="shared" si="2"/>
        <v>2.487427240977881</v>
      </c>
      <c r="J10" s="17"/>
    </row>
    <row r="11" spans="1:10" x14ac:dyDescent="0.3">
      <c r="A11" s="4" t="s">
        <v>18</v>
      </c>
      <c r="B11" s="5">
        <v>53.73</v>
      </c>
      <c r="C11" s="6">
        <v>3498</v>
      </c>
      <c r="D11" s="7">
        <v>21254</v>
      </c>
      <c r="E11" s="7">
        <v>10721</v>
      </c>
      <c r="F11" s="7">
        <v>8569</v>
      </c>
      <c r="G11" s="8">
        <f t="shared" si="0"/>
        <v>21.254000000000001</v>
      </c>
      <c r="H11" s="8">
        <f t="shared" si="1"/>
        <v>10.721</v>
      </c>
      <c r="I11" s="9">
        <f t="shared" si="2"/>
        <v>2.4803360952269808</v>
      </c>
      <c r="J11" s="10"/>
    </row>
    <row r="12" spans="1:10" x14ac:dyDescent="0.3">
      <c r="A12" s="11" t="s">
        <v>19</v>
      </c>
      <c r="B12" s="12">
        <v>113.15</v>
      </c>
      <c r="C12" s="13">
        <v>4286</v>
      </c>
      <c r="D12" s="14">
        <v>20651</v>
      </c>
      <c r="E12" s="14">
        <v>13157</v>
      </c>
      <c r="F12" s="14">
        <v>7671</v>
      </c>
      <c r="G12" s="15">
        <f t="shared" si="0"/>
        <v>20.651</v>
      </c>
      <c r="H12" s="15">
        <f t="shared" si="1"/>
        <v>13.157</v>
      </c>
      <c r="I12" s="16">
        <f t="shared" si="2"/>
        <v>2.6920870812149653</v>
      </c>
      <c r="J12" s="17"/>
    </row>
    <row r="13" spans="1:10" x14ac:dyDescent="0.3">
      <c r="A13" s="4" t="s">
        <v>20</v>
      </c>
      <c r="B13" s="5">
        <v>37.01</v>
      </c>
      <c r="C13" s="6">
        <v>2635</v>
      </c>
      <c r="D13" s="7">
        <v>20626</v>
      </c>
      <c r="E13" s="7">
        <v>18070</v>
      </c>
      <c r="F13" s="7">
        <v>8660</v>
      </c>
      <c r="G13" s="8">
        <f t="shared" si="0"/>
        <v>20.626000000000001</v>
      </c>
      <c r="H13" s="8">
        <f t="shared" si="1"/>
        <v>18.07</v>
      </c>
      <c r="I13" s="9">
        <f t="shared" si="2"/>
        <v>2.3817551963048498</v>
      </c>
      <c r="J13" s="10"/>
    </row>
    <row r="14" spans="1:10" x14ac:dyDescent="0.3">
      <c r="A14" s="11" t="s">
        <v>21</v>
      </c>
      <c r="B14" s="12">
        <v>176.39</v>
      </c>
      <c r="C14" s="13">
        <v>5505</v>
      </c>
      <c r="D14" s="14">
        <v>20367</v>
      </c>
      <c r="E14" s="14">
        <v>9638</v>
      </c>
      <c r="F14" s="14">
        <v>8188</v>
      </c>
      <c r="G14" s="15">
        <f t="shared" si="0"/>
        <v>20.367000000000001</v>
      </c>
      <c r="H14" s="15">
        <f t="shared" si="1"/>
        <v>9.6379999999999999</v>
      </c>
      <c r="I14" s="16">
        <f t="shared" si="2"/>
        <v>2.487420615534929</v>
      </c>
      <c r="J14" s="17"/>
    </row>
    <row r="15" spans="1:10" x14ac:dyDescent="0.3">
      <c r="A15" s="4" t="s">
        <v>22</v>
      </c>
      <c r="B15" s="5">
        <v>89.23</v>
      </c>
      <c r="C15" s="6">
        <v>4478</v>
      </c>
      <c r="D15" s="7">
        <v>19831</v>
      </c>
      <c r="E15" s="7">
        <v>10882</v>
      </c>
      <c r="F15" s="7">
        <v>9491</v>
      </c>
      <c r="G15" s="8">
        <f t="shared" si="0"/>
        <v>19.831</v>
      </c>
      <c r="H15" s="8">
        <f t="shared" si="1"/>
        <v>10.882</v>
      </c>
      <c r="I15" s="9">
        <f t="shared" si="2"/>
        <v>2.0894531661574125</v>
      </c>
      <c r="J15" s="10"/>
    </row>
    <row r="16" spans="1:10" x14ac:dyDescent="0.3">
      <c r="A16" s="11" t="s">
        <v>23</v>
      </c>
      <c r="B16" s="12">
        <v>136.09</v>
      </c>
      <c r="C16" s="13">
        <v>5014</v>
      </c>
      <c r="D16" s="14">
        <v>19678</v>
      </c>
      <c r="E16" s="14">
        <v>16982</v>
      </c>
      <c r="F16" s="14">
        <v>9246</v>
      </c>
      <c r="G16" s="15">
        <f t="shared" si="0"/>
        <v>19.678000000000001</v>
      </c>
      <c r="H16" s="15">
        <f t="shared" si="1"/>
        <v>16.981999999999999</v>
      </c>
      <c r="I16" s="16">
        <f t="shared" si="2"/>
        <v>2.1282716850529959</v>
      </c>
      <c r="J16" s="17"/>
    </row>
    <row r="17" spans="1:10" x14ac:dyDescent="0.3">
      <c r="A17" s="4" t="s">
        <v>24</v>
      </c>
      <c r="B17" s="5">
        <v>91.09</v>
      </c>
      <c r="C17" s="6">
        <v>4800</v>
      </c>
      <c r="D17" s="7">
        <v>19508</v>
      </c>
      <c r="E17" s="7">
        <v>16231</v>
      </c>
      <c r="F17" s="7">
        <v>9296</v>
      </c>
      <c r="G17" s="8">
        <f t="shared" si="0"/>
        <v>19.507999999999999</v>
      </c>
      <c r="H17" s="8">
        <f t="shared" si="1"/>
        <v>16.231000000000002</v>
      </c>
      <c r="I17" s="9">
        <f t="shared" si="2"/>
        <v>2.0985370051635113</v>
      </c>
      <c r="J17" s="10"/>
    </row>
    <row r="18" spans="1:10" x14ac:dyDescent="0.3">
      <c r="A18" s="11" t="s">
        <v>25</v>
      </c>
      <c r="B18" s="12">
        <v>102.6</v>
      </c>
      <c r="C18" s="13">
        <v>4825</v>
      </c>
      <c r="D18" s="14">
        <v>19040</v>
      </c>
      <c r="E18" s="14">
        <v>16981</v>
      </c>
      <c r="F18" s="14">
        <v>9340</v>
      </c>
      <c r="G18" s="15">
        <f t="shared" si="0"/>
        <v>19.04</v>
      </c>
      <c r="H18" s="15">
        <f t="shared" si="1"/>
        <v>16.981000000000002</v>
      </c>
      <c r="I18" s="16">
        <f t="shared" si="2"/>
        <v>2.0385438972162739</v>
      </c>
      <c r="J18" s="17"/>
    </row>
    <row r="19" spans="1:10" x14ac:dyDescent="0.3">
      <c r="A19" s="4" t="s">
        <v>26</v>
      </c>
      <c r="B19" s="5">
        <v>39.909999999999997</v>
      </c>
      <c r="C19" s="6">
        <v>3529</v>
      </c>
      <c r="D19" s="7">
        <v>18860</v>
      </c>
      <c r="E19" s="7">
        <v>14990</v>
      </c>
      <c r="F19" s="7">
        <v>10408</v>
      </c>
      <c r="G19" s="8">
        <f t="shared" si="0"/>
        <v>18.86</v>
      </c>
      <c r="H19" s="8">
        <f t="shared" si="1"/>
        <v>14.99</v>
      </c>
      <c r="I19" s="9">
        <f t="shared" si="2"/>
        <v>1.8120676402767102</v>
      </c>
      <c r="J19" s="10"/>
    </row>
    <row r="20" spans="1:10" x14ac:dyDescent="0.3">
      <c r="A20" s="11" t="s">
        <v>27</v>
      </c>
      <c r="B20" s="12">
        <v>34.1</v>
      </c>
      <c r="C20" s="13">
        <v>2974</v>
      </c>
      <c r="D20" s="14">
        <v>18677</v>
      </c>
      <c r="E20" s="14">
        <v>16481</v>
      </c>
      <c r="F20" s="14">
        <v>10498</v>
      </c>
      <c r="G20" s="15">
        <f t="shared" si="0"/>
        <v>18.677</v>
      </c>
      <c r="H20" s="15">
        <f t="shared" si="1"/>
        <v>16.481000000000002</v>
      </c>
      <c r="I20" s="16">
        <f t="shared" si="2"/>
        <v>1.7791007811011621</v>
      </c>
      <c r="J20" s="17"/>
    </row>
    <row r="21" spans="1:10" x14ac:dyDescent="0.3">
      <c r="A21" s="4" t="s">
        <v>28</v>
      </c>
      <c r="B21" s="5">
        <v>105.12</v>
      </c>
      <c r="C21" s="6">
        <v>4649</v>
      </c>
      <c r="D21" s="7">
        <v>18670</v>
      </c>
      <c r="E21" s="7">
        <v>14083</v>
      </c>
      <c r="F21" s="7">
        <v>12254</v>
      </c>
      <c r="G21" s="8">
        <f t="shared" si="0"/>
        <v>18.670000000000002</v>
      </c>
      <c r="H21" s="8">
        <f t="shared" si="1"/>
        <v>14.083</v>
      </c>
      <c r="I21" s="9">
        <f t="shared" si="2"/>
        <v>1.5235841357923943</v>
      </c>
      <c r="J21" s="10"/>
    </row>
    <row r="22" spans="1:10" x14ac:dyDescent="0.3">
      <c r="A22" s="11" t="s">
        <v>29</v>
      </c>
      <c r="B22" s="12">
        <v>101.29</v>
      </c>
      <c r="C22" s="13">
        <v>4656</v>
      </c>
      <c r="D22" s="14">
        <v>18476</v>
      </c>
      <c r="E22" s="14">
        <v>15754</v>
      </c>
      <c r="F22" s="14">
        <v>13485</v>
      </c>
      <c r="G22" s="15">
        <f t="shared" si="0"/>
        <v>18.475999999999999</v>
      </c>
      <c r="H22" s="15">
        <f t="shared" si="1"/>
        <v>15.754</v>
      </c>
      <c r="I22" s="16">
        <f t="shared" si="2"/>
        <v>1.3701149425287356</v>
      </c>
      <c r="J22" s="17"/>
    </row>
    <row r="23" spans="1:10" x14ac:dyDescent="0.3">
      <c r="A23" s="4" t="s">
        <v>30</v>
      </c>
      <c r="B23" s="5">
        <v>126.64</v>
      </c>
      <c r="C23" s="6">
        <v>5111</v>
      </c>
      <c r="D23" s="7">
        <v>18391</v>
      </c>
      <c r="E23" s="7">
        <v>11493</v>
      </c>
      <c r="F23" s="7">
        <v>10088</v>
      </c>
      <c r="G23" s="8">
        <f t="shared" si="0"/>
        <v>18.390999999999998</v>
      </c>
      <c r="H23" s="8">
        <f t="shared" si="1"/>
        <v>11.493</v>
      </c>
      <c r="I23" s="9">
        <f t="shared" si="2"/>
        <v>1.8230570975416336</v>
      </c>
      <c r="J23" s="10"/>
    </row>
    <row r="24" spans="1:10" x14ac:dyDescent="0.3">
      <c r="A24" s="11" t="s">
        <v>31</v>
      </c>
      <c r="B24" s="12">
        <v>148.63999999999999</v>
      </c>
      <c r="C24" s="13">
        <v>5030</v>
      </c>
      <c r="D24" s="14">
        <v>18367</v>
      </c>
      <c r="E24" s="14">
        <v>13656</v>
      </c>
      <c r="F24" s="14">
        <v>11235</v>
      </c>
      <c r="G24" s="15">
        <f t="shared" si="0"/>
        <v>18.367000000000001</v>
      </c>
      <c r="H24" s="15">
        <f t="shared" si="1"/>
        <v>13.656000000000001</v>
      </c>
      <c r="I24" s="16">
        <f t="shared" si="2"/>
        <v>1.6348019581664441</v>
      </c>
      <c r="J24" s="17"/>
    </row>
    <row r="25" spans="1:10" x14ac:dyDescent="0.3">
      <c r="A25" s="4" t="s">
        <v>32</v>
      </c>
      <c r="B25" s="5">
        <v>187.98</v>
      </c>
      <c r="C25" s="6">
        <v>5527</v>
      </c>
      <c r="D25" s="7">
        <v>18335</v>
      </c>
      <c r="E25" s="7">
        <v>14319</v>
      </c>
      <c r="F25" s="7">
        <v>12272</v>
      </c>
      <c r="G25" s="8">
        <f t="shared" si="0"/>
        <v>18.335000000000001</v>
      </c>
      <c r="H25" s="8">
        <f t="shared" si="1"/>
        <v>14.319000000000001</v>
      </c>
      <c r="I25" s="9">
        <f t="shared" si="2"/>
        <v>1.4940514993481095</v>
      </c>
      <c r="J25" s="10"/>
    </row>
    <row r="26" spans="1:10" x14ac:dyDescent="0.3">
      <c r="A26" s="11" t="s">
        <v>33</v>
      </c>
      <c r="B26" s="12">
        <v>94.07</v>
      </c>
      <c r="C26" s="13">
        <v>4113</v>
      </c>
      <c r="D26" s="14">
        <v>18322</v>
      </c>
      <c r="E26" s="14">
        <v>16256</v>
      </c>
      <c r="F26" s="14">
        <v>10302</v>
      </c>
      <c r="G26" s="15">
        <f t="shared" si="0"/>
        <v>18.321999999999999</v>
      </c>
      <c r="H26" s="15">
        <f t="shared" si="1"/>
        <v>16.256</v>
      </c>
      <c r="I26" s="16">
        <f t="shared" si="2"/>
        <v>1.778489613667249</v>
      </c>
      <c r="J26" s="17"/>
    </row>
    <row r="27" spans="1:10" x14ac:dyDescent="0.3">
      <c r="A27" s="4" t="s">
        <v>34</v>
      </c>
      <c r="B27" s="5">
        <v>115.34</v>
      </c>
      <c r="C27" s="6">
        <v>4522</v>
      </c>
      <c r="D27" s="7">
        <v>18166</v>
      </c>
      <c r="E27" s="7">
        <v>15401</v>
      </c>
      <c r="F27" s="7">
        <v>10721</v>
      </c>
      <c r="G27" s="8">
        <f t="shared" si="0"/>
        <v>18.166</v>
      </c>
      <c r="H27" s="8">
        <f t="shared" si="1"/>
        <v>15.401</v>
      </c>
      <c r="I27" s="9">
        <f t="shared" si="2"/>
        <v>1.6944314895998507</v>
      </c>
      <c r="J27" s="10"/>
    </row>
    <row r="28" spans="1:10" x14ac:dyDescent="0.3">
      <c r="A28" s="11" t="s">
        <v>35</v>
      </c>
      <c r="B28" s="12">
        <v>150.12</v>
      </c>
      <c r="C28" s="13">
        <v>5537</v>
      </c>
      <c r="D28" s="14">
        <v>18152</v>
      </c>
      <c r="E28" s="14">
        <v>14418</v>
      </c>
      <c r="F28" s="14">
        <v>10594</v>
      </c>
      <c r="G28" s="15">
        <f t="shared" si="0"/>
        <v>18.152000000000001</v>
      </c>
      <c r="H28" s="15">
        <f t="shared" si="1"/>
        <v>14.417999999999999</v>
      </c>
      <c r="I28" s="16">
        <f t="shared" si="2"/>
        <v>1.7134226920898621</v>
      </c>
      <c r="J28" s="17"/>
    </row>
    <row r="29" spans="1:10" x14ac:dyDescent="0.3">
      <c r="A29" s="4" t="s">
        <v>36</v>
      </c>
      <c r="B29" s="5">
        <v>53.75</v>
      </c>
      <c r="C29" s="6">
        <v>2912</v>
      </c>
      <c r="D29" s="7">
        <v>17996</v>
      </c>
      <c r="E29" s="7">
        <v>14093</v>
      </c>
      <c r="F29" s="7">
        <v>10887</v>
      </c>
      <c r="G29" s="8">
        <f t="shared" si="0"/>
        <v>17.995999999999999</v>
      </c>
      <c r="H29" s="8">
        <f t="shared" si="1"/>
        <v>14.093</v>
      </c>
      <c r="I29" s="9">
        <f t="shared" si="2"/>
        <v>1.6529806190869845</v>
      </c>
      <c r="J29" s="10"/>
    </row>
    <row r="30" spans="1:10" x14ac:dyDescent="0.3">
      <c r="A30" s="18" t="s">
        <v>37</v>
      </c>
      <c r="B30" s="19">
        <v>58.11</v>
      </c>
      <c r="C30" s="20">
        <v>3300</v>
      </c>
      <c r="D30" s="21">
        <v>17941</v>
      </c>
      <c r="E30" s="21">
        <v>8955</v>
      </c>
      <c r="F30" s="21">
        <v>1625</v>
      </c>
      <c r="G30" s="22">
        <f t="shared" si="0"/>
        <v>17.940999999999999</v>
      </c>
      <c r="H30" s="22">
        <f t="shared" si="1"/>
        <v>8.9550000000000001</v>
      </c>
      <c r="I30" s="23">
        <f t="shared" si="2"/>
        <v>11.040615384615384</v>
      </c>
      <c r="J30" s="24"/>
    </row>
    <row r="31" spans="1:10" x14ac:dyDescent="0.3">
      <c r="A31" s="18" t="s">
        <v>38</v>
      </c>
      <c r="B31" s="19">
        <v>216.06</v>
      </c>
      <c r="C31" s="20">
        <v>5853</v>
      </c>
      <c r="D31" s="21">
        <v>17932</v>
      </c>
      <c r="E31" s="21">
        <v>13598</v>
      </c>
      <c r="F31" s="21">
        <v>814</v>
      </c>
      <c r="G31" s="22">
        <f t="shared" si="0"/>
        <v>17.931999999999999</v>
      </c>
      <c r="H31" s="22">
        <f t="shared" si="1"/>
        <v>13.598000000000001</v>
      </c>
      <c r="I31" s="23">
        <f t="shared" si="2"/>
        <v>22.029484029484028</v>
      </c>
      <c r="J31" s="24"/>
    </row>
    <row r="32" spans="1:10" x14ac:dyDescent="0.3">
      <c r="A32" s="18" t="s">
        <v>39</v>
      </c>
      <c r="B32" s="19">
        <v>115.98</v>
      </c>
      <c r="C32" s="20">
        <v>4428</v>
      </c>
      <c r="D32" s="21">
        <v>17924</v>
      </c>
      <c r="E32" s="21">
        <v>146</v>
      </c>
      <c r="F32" s="21">
        <v>146</v>
      </c>
      <c r="G32" s="22">
        <f t="shared" si="0"/>
        <v>17.923999999999999</v>
      </c>
      <c r="H32" s="22">
        <f t="shared" si="1"/>
        <v>0.14599999999999999</v>
      </c>
      <c r="I32" s="23">
        <f t="shared" si="2"/>
        <v>122.76712328767124</v>
      </c>
      <c r="J32" s="24"/>
    </row>
    <row r="33" spans="1:10" x14ac:dyDescent="0.3">
      <c r="A33" s="18" t="s">
        <v>40</v>
      </c>
      <c r="B33" s="19">
        <v>40.79</v>
      </c>
      <c r="C33" s="20">
        <v>2958</v>
      </c>
      <c r="D33" s="21">
        <v>17403</v>
      </c>
      <c r="E33" s="21">
        <v>4117</v>
      </c>
      <c r="F33" s="21">
        <v>1951</v>
      </c>
      <c r="G33" s="22">
        <f t="shared" si="0"/>
        <v>17.402999999999999</v>
      </c>
      <c r="H33" s="22">
        <f t="shared" si="1"/>
        <v>4.117</v>
      </c>
      <c r="I33" s="23">
        <f t="shared" si="2"/>
        <v>8.9200410046130187</v>
      </c>
      <c r="J33" s="24"/>
    </row>
    <row r="34" spans="1:10" x14ac:dyDescent="0.3">
      <c r="A34" s="11" t="s">
        <v>41</v>
      </c>
      <c r="B34" s="12">
        <v>43.82</v>
      </c>
      <c r="C34" s="13">
        <v>2753</v>
      </c>
      <c r="D34" s="14">
        <v>17313</v>
      </c>
      <c r="E34" s="14">
        <v>14944</v>
      </c>
      <c r="F34" s="14">
        <v>10975</v>
      </c>
      <c r="G34" s="15">
        <f t="shared" si="0"/>
        <v>17.312999999999999</v>
      </c>
      <c r="H34" s="15">
        <f t="shared" si="1"/>
        <v>14.944000000000001</v>
      </c>
      <c r="I34" s="16">
        <f t="shared" si="2"/>
        <v>1.5774943052391799</v>
      </c>
      <c r="J34" s="17"/>
    </row>
    <row r="35" spans="1:10" x14ac:dyDescent="0.3">
      <c r="A35" s="18" t="s">
        <v>42</v>
      </c>
      <c r="B35" s="19">
        <v>58.91</v>
      </c>
      <c r="C35" s="20">
        <v>3665</v>
      </c>
      <c r="D35" s="21">
        <v>17132</v>
      </c>
      <c r="E35" s="21">
        <v>138</v>
      </c>
      <c r="F35" s="21">
        <v>137</v>
      </c>
      <c r="G35" s="22">
        <f t="shared" si="0"/>
        <v>17.132000000000001</v>
      </c>
      <c r="H35" s="22">
        <f t="shared" si="1"/>
        <v>0.13800000000000001</v>
      </c>
      <c r="I35" s="23">
        <f t="shared" si="2"/>
        <v>125.05109489051095</v>
      </c>
      <c r="J35" s="24"/>
    </row>
    <row r="36" spans="1:10" x14ac:dyDescent="0.3">
      <c r="A36" s="18" t="s">
        <v>43</v>
      </c>
      <c r="B36" s="19">
        <v>57.95</v>
      </c>
      <c r="C36" s="20">
        <v>4422</v>
      </c>
      <c r="D36" s="21">
        <v>17132</v>
      </c>
      <c r="E36" s="21">
        <v>14427</v>
      </c>
      <c r="F36" s="21">
        <v>4986</v>
      </c>
      <c r="G36" s="22">
        <f t="shared" si="0"/>
        <v>17.132000000000001</v>
      </c>
      <c r="H36" s="22">
        <f t="shared" si="1"/>
        <v>14.427</v>
      </c>
      <c r="I36" s="23">
        <f t="shared" si="2"/>
        <v>3.4360208584035297</v>
      </c>
      <c r="J36" s="24"/>
    </row>
    <row r="37" spans="1:10" x14ac:dyDescent="0.3">
      <c r="A37" s="4" t="s">
        <v>44</v>
      </c>
      <c r="B37" s="5">
        <v>112.46</v>
      </c>
      <c r="C37" s="6">
        <v>4616</v>
      </c>
      <c r="D37" s="7">
        <v>16979</v>
      </c>
      <c r="E37" s="7">
        <v>14725</v>
      </c>
      <c r="F37" s="7">
        <v>12954</v>
      </c>
      <c r="G37" s="8">
        <f t="shared" ref="G37:G68" si="3">D37/1000</f>
        <v>16.978999999999999</v>
      </c>
      <c r="H37" s="8">
        <f t="shared" ref="H37:H68" si="4">E37/1000</f>
        <v>14.725</v>
      </c>
      <c r="I37" s="9">
        <f t="shared" ref="I37:I68" si="5">IFERROR(D37/F37,"")</f>
        <v>1.3107148371159487</v>
      </c>
      <c r="J37" s="10"/>
    </row>
    <row r="38" spans="1:10" x14ac:dyDescent="0.3">
      <c r="A38" s="11" t="s">
        <v>45</v>
      </c>
      <c r="B38" s="12">
        <v>24.13</v>
      </c>
      <c r="C38" s="13">
        <v>2354</v>
      </c>
      <c r="D38" s="14">
        <v>16962</v>
      </c>
      <c r="E38" s="14">
        <v>14893</v>
      </c>
      <c r="F38" s="14">
        <v>11750</v>
      </c>
      <c r="G38" s="15">
        <f t="shared" si="3"/>
        <v>16.962</v>
      </c>
      <c r="H38" s="15">
        <f t="shared" si="4"/>
        <v>14.893000000000001</v>
      </c>
      <c r="I38" s="16">
        <f t="shared" si="5"/>
        <v>1.4435744680851064</v>
      </c>
      <c r="J38" s="17"/>
    </row>
    <row r="39" spans="1:10" x14ac:dyDescent="0.3">
      <c r="A39" s="18" t="s">
        <v>46</v>
      </c>
      <c r="B39" s="19">
        <v>41.91</v>
      </c>
      <c r="C39" s="20">
        <v>3348</v>
      </c>
      <c r="D39" s="21">
        <v>16922</v>
      </c>
      <c r="E39" s="21">
        <v>2567</v>
      </c>
      <c r="F39" s="21">
        <v>1009</v>
      </c>
      <c r="G39" s="22">
        <f t="shared" si="3"/>
        <v>16.922000000000001</v>
      </c>
      <c r="H39" s="22">
        <f t="shared" si="4"/>
        <v>2.5670000000000002</v>
      </c>
      <c r="I39" s="23">
        <f t="shared" si="5"/>
        <v>16.771060455896929</v>
      </c>
      <c r="J39" s="24"/>
    </row>
    <row r="40" spans="1:10" x14ac:dyDescent="0.3">
      <c r="A40" s="11" t="s">
        <v>47</v>
      </c>
      <c r="B40" s="12">
        <v>110.65</v>
      </c>
      <c r="C40" s="13">
        <v>4294</v>
      </c>
      <c r="D40" s="14">
        <v>16817</v>
      </c>
      <c r="E40" s="14">
        <v>13659</v>
      </c>
      <c r="F40" s="14">
        <v>12248</v>
      </c>
      <c r="G40" s="15">
        <f t="shared" si="3"/>
        <v>16.817</v>
      </c>
      <c r="H40" s="15">
        <f t="shared" si="4"/>
        <v>13.659000000000001</v>
      </c>
      <c r="I40" s="16">
        <f t="shared" si="5"/>
        <v>1.3730404964075766</v>
      </c>
      <c r="J40" s="17"/>
    </row>
    <row r="41" spans="1:10" x14ac:dyDescent="0.3">
      <c r="A41" s="18" t="s">
        <v>48</v>
      </c>
      <c r="B41" s="19">
        <v>108.02</v>
      </c>
      <c r="C41" s="20">
        <v>4421</v>
      </c>
      <c r="D41" s="21">
        <v>16490</v>
      </c>
      <c r="E41" s="21">
        <v>8589</v>
      </c>
      <c r="F41" s="21">
        <v>3884</v>
      </c>
      <c r="G41" s="22">
        <f t="shared" si="3"/>
        <v>16.489999999999998</v>
      </c>
      <c r="H41" s="22">
        <f t="shared" si="4"/>
        <v>8.5890000000000004</v>
      </c>
      <c r="I41" s="23">
        <f t="shared" si="5"/>
        <v>4.2456230690010299</v>
      </c>
      <c r="J41" s="24"/>
    </row>
    <row r="42" spans="1:10" x14ac:dyDescent="0.3">
      <c r="A42" s="18" t="s">
        <v>49</v>
      </c>
      <c r="B42" s="19">
        <v>95.56</v>
      </c>
      <c r="C42" s="20">
        <v>5072</v>
      </c>
      <c r="D42" s="21">
        <v>16489</v>
      </c>
      <c r="E42" s="21">
        <v>7877</v>
      </c>
      <c r="F42" s="21">
        <v>2553</v>
      </c>
      <c r="G42" s="22">
        <f t="shared" si="3"/>
        <v>16.489000000000001</v>
      </c>
      <c r="H42" s="22">
        <f t="shared" si="4"/>
        <v>7.8769999999999998</v>
      </c>
      <c r="I42" s="23">
        <f t="shared" si="5"/>
        <v>6.4586760673717194</v>
      </c>
      <c r="J42" s="24"/>
    </row>
    <row r="43" spans="1:10" x14ac:dyDescent="0.3">
      <c r="A43" s="18" t="s">
        <v>50</v>
      </c>
      <c r="B43" s="19">
        <v>32.340000000000003</v>
      </c>
      <c r="C43" s="20">
        <v>2321</v>
      </c>
      <c r="D43" s="21">
        <v>16463</v>
      </c>
      <c r="E43" s="21">
        <v>4117</v>
      </c>
      <c r="F43" s="21">
        <v>1812</v>
      </c>
      <c r="G43" s="22">
        <f t="shared" si="3"/>
        <v>16.463000000000001</v>
      </c>
      <c r="H43" s="22">
        <f t="shared" si="4"/>
        <v>4.117</v>
      </c>
      <c r="I43" s="23">
        <f t="shared" si="5"/>
        <v>9.0855408388520971</v>
      </c>
      <c r="J43" s="24"/>
    </row>
    <row r="44" spans="1:10" x14ac:dyDescent="0.3">
      <c r="A44" s="11" t="s">
        <v>51</v>
      </c>
      <c r="B44" s="12">
        <v>50.57</v>
      </c>
      <c r="C44" s="13">
        <v>3913</v>
      </c>
      <c r="D44" s="14">
        <v>16445</v>
      </c>
      <c r="E44" s="14">
        <v>14398</v>
      </c>
      <c r="F44" s="14">
        <v>5528</v>
      </c>
      <c r="G44" s="15">
        <f t="shared" si="3"/>
        <v>16.445</v>
      </c>
      <c r="H44" s="15">
        <f t="shared" si="4"/>
        <v>14.398</v>
      </c>
      <c r="I44" s="16">
        <f t="shared" si="5"/>
        <v>2.9748552821997105</v>
      </c>
      <c r="J44" s="17"/>
    </row>
    <row r="45" spans="1:10" x14ac:dyDescent="0.3">
      <c r="A45" s="4" t="s">
        <v>52</v>
      </c>
      <c r="B45" s="5">
        <v>136.11000000000001</v>
      </c>
      <c r="C45" s="6">
        <v>5358</v>
      </c>
      <c r="D45" s="7">
        <v>16444</v>
      </c>
      <c r="E45" s="7">
        <v>13839</v>
      </c>
      <c r="F45" s="7">
        <v>5516</v>
      </c>
      <c r="G45" s="8">
        <f t="shared" si="3"/>
        <v>16.443999999999999</v>
      </c>
      <c r="H45" s="8">
        <f t="shared" si="4"/>
        <v>13.839</v>
      </c>
      <c r="I45" s="9">
        <f t="shared" si="5"/>
        <v>2.9811457577955038</v>
      </c>
      <c r="J45" s="10"/>
    </row>
    <row r="46" spans="1:10" x14ac:dyDescent="0.3">
      <c r="A46" s="18" t="s">
        <v>53</v>
      </c>
      <c r="B46" s="19">
        <v>90.05</v>
      </c>
      <c r="C46" s="20">
        <v>4519</v>
      </c>
      <c r="D46" s="21">
        <v>16183</v>
      </c>
      <c r="E46" s="21">
        <v>9658</v>
      </c>
      <c r="F46" s="21">
        <v>4488</v>
      </c>
      <c r="G46" s="22">
        <f t="shared" si="3"/>
        <v>16.183</v>
      </c>
      <c r="H46" s="22">
        <f t="shared" si="4"/>
        <v>9.6579999999999995</v>
      </c>
      <c r="I46" s="23">
        <f t="shared" si="5"/>
        <v>3.6058377896613192</v>
      </c>
      <c r="J46" s="24"/>
    </row>
    <row r="47" spans="1:10" x14ac:dyDescent="0.3">
      <c r="A47" s="4" t="s">
        <v>54</v>
      </c>
      <c r="B47" s="5">
        <v>194.16</v>
      </c>
      <c r="C47" s="6">
        <v>6605</v>
      </c>
      <c r="D47" s="7">
        <v>16183</v>
      </c>
      <c r="E47" s="7">
        <v>11453</v>
      </c>
      <c r="F47" s="7">
        <v>6121</v>
      </c>
      <c r="G47" s="8">
        <f t="shared" si="3"/>
        <v>16.183</v>
      </c>
      <c r="H47" s="8">
        <f t="shared" si="4"/>
        <v>11.452999999999999</v>
      </c>
      <c r="I47" s="9">
        <f t="shared" si="5"/>
        <v>2.6438490442738116</v>
      </c>
      <c r="J47" s="10"/>
    </row>
    <row r="48" spans="1:10" x14ac:dyDescent="0.3">
      <c r="A48" s="18" t="s">
        <v>55</v>
      </c>
      <c r="B48" s="19">
        <v>69.05</v>
      </c>
      <c r="C48" s="20">
        <v>3569</v>
      </c>
      <c r="D48" s="21">
        <v>16013</v>
      </c>
      <c r="E48" s="21">
        <v>10252</v>
      </c>
      <c r="F48" s="21">
        <v>5170</v>
      </c>
      <c r="G48" s="22">
        <f t="shared" si="3"/>
        <v>16.013000000000002</v>
      </c>
      <c r="H48" s="22">
        <f t="shared" si="4"/>
        <v>10.252000000000001</v>
      </c>
      <c r="I48" s="23">
        <f t="shared" si="5"/>
        <v>3.0972920696324953</v>
      </c>
      <c r="J48" s="24"/>
    </row>
    <row r="49" spans="1:10" x14ac:dyDescent="0.3">
      <c r="A49" s="18" t="s">
        <v>56</v>
      </c>
      <c r="B49" s="19">
        <v>60.78</v>
      </c>
      <c r="C49" s="20">
        <v>4221</v>
      </c>
      <c r="D49" s="21">
        <v>15990</v>
      </c>
      <c r="E49" s="21">
        <v>10627</v>
      </c>
      <c r="F49" s="21">
        <v>4970</v>
      </c>
      <c r="G49" s="22">
        <f t="shared" si="3"/>
        <v>15.99</v>
      </c>
      <c r="H49" s="22">
        <f t="shared" si="4"/>
        <v>10.627000000000001</v>
      </c>
      <c r="I49" s="23">
        <f t="shared" si="5"/>
        <v>3.2173038229376258</v>
      </c>
      <c r="J49" s="24"/>
    </row>
    <row r="50" spans="1:10" x14ac:dyDescent="0.3">
      <c r="A50" s="18" t="s">
        <v>57</v>
      </c>
      <c r="B50" s="19">
        <v>113.56</v>
      </c>
      <c r="C50" s="20">
        <v>4624</v>
      </c>
      <c r="D50" s="21">
        <v>15961</v>
      </c>
      <c r="E50" s="21">
        <v>6357</v>
      </c>
      <c r="F50" s="21">
        <v>3449</v>
      </c>
      <c r="G50" s="22">
        <f t="shared" si="3"/>
        <v>15.961</v>
      </c>
      <c r="H50" s="22">
        <f t="shared" si="4"/>
        <v>6.3570000000000002</v>
      </c>
      <c r="I50" s="23">
        <f t="shared" si="5"/>
        <v>4.6277181791823718</v>
      </c>
      <c r="J50" s="24"/>
    </row>
    <row r="51" spans="1:10" x14ac:dyDescent="0.3">
      <c r="A51" s="18" t="s">
        <v>58</v>
      </c>
      <c r="B51" s="19">
        <v>69.489999999999995</v>
      </c>
      <c r="C51" s="20">
        <v>3396</v>
      </c>
      <c r="D51" s="21">
        <v>15710</v>
      </c>
      <c r="E51" s="21">
        <v>2157</v>
      </c>
      <c r="F51" s="21">
        <v>1412</v>
      </c>
      <c r="G51" s="22">
        <f t="shared" si="3"/>
        <v>15.71</v>
      </c>
      <c r="H51" s="22">
        <f t="shared" si="4"/>
        <v>2.157</v>
      </c>
      <c r="I51" s="23">
        <f t="shared" si="5"/>
        <v>11.126062322946176</v>
      </c>
      <c r="J51" s="24"/>
    </row>
    <row r="52" spans="1:10" x14ac:dyDescent="0.3">
      <c r="A52" s="18" t="s">
        <v>59</v>
      </c>
      <c r="B52" s="19">
        <v>171.84</v>
      </c>
      <c r="C52" s="20">
        <v>5330</v>
      </c>
      <c r="D52" s="21">
        <v>15297</v>
      </c>
      <c r="E52" s="21">
        <v>12262</v>
      </c>
      <c r="F52" s="21">
        <v>4557</v>
      </c>
      <c r="G52" s="22">
        <f t="shared" si="3"/>
        <v>15.297000000000001</v>
      </c>
      <c r="H52" s="22">
        <f t="shared" si="4"/>
        <v>12.262</v>
      </c>
      <c r="I52" s="23">
        <f t="shared" si="5"/>
        <v>3.3568136932192232</v>
      </c>
      <c r="J52" s="24"/>
    </row>
    <row r="53" spans="1:10" x14ac:dyDescent="0.3">
      <c r="A53" s="4" t="s">
        <v>60</v>
      </c>
      <c r="B53" s="5">
        <v>74.459999999999994</v>
      </c>
      <c r="C53" s="6">
        <v>4140</v>
      </c>
      <c r="D53" s="7">
        <v>15216</v>
      </c>
      <c r="E53" s="7">
        <v>13328</v>
      </c>
      <c r="F53" s="7">
        <v>5525</v>
      </c>
      <c r="G53" s="8">
        <f t="shared" si="3"/>
        <v>15.215999999999999</v>
      </c>
      <c r="H53" s="8">
        <f t="shared" si="4"/>
        <v>13.327999999999999</v>
      </c>
      <c r="I53" s="9">
        <f t="shared" si="5"/>
        <v>2.7540271493212671</v>
      </c>
      <c r="J53" s="10"/>
    </row>
    <row r="54" spans="1:10" x14ac:dyDescent="0.3">
      <c r="A54" s="18" t="s">
        <v>61</v>
      </c>
      <c r="B54" s="19">
        <v>89.46</v>
      </c>
      <c r="C54" s="20">
        <v>4696</v>
      </c>
      <c r="D54" s="21">
        <v>15189</v>
      </c>
      <c r="E54" s="21">
        <v>8186</v>
      </c>
      <c r="F54" s="21">
        <v>4316</v>
      </c>
      <c r="G54" s="22">
        <f t="shared" si="3"/>
        <v>15.189</v>
      </c>
      <c r="H54" s="22">
        <f t="shared" si="4"/>
        <v>8.1859999999999999</v>
      </c>
      <c r="I54" s="23">
        <f t="shared" si="5"/>
        <v>3.5192307692307692</v>
      </c>
      <c r="J54" s="24"/>
    </row>
    <row r="55" spans="1:10" x14ac:dyDescent="0.3">
      <c r="A55" s="18" t="s">
        <v>62</v>
      </c>
      <c r="B55" s="19">
        <v>134.35</v>
      </c>
      <c r="C55" s="20">
        <v>5374</v>
      </c>
      <c r="D55" s="21">
        <v>15080</v>
      </c>
      <c r="E55" s="21">
        <v>9694</v>
      </c>
      <c r="F55" s="21">
        <v>1928</v>
      </c>
      <c r="G55" s="22">
        <f t="shared" si="3"/>
        <v>15.08</v>
      </c>
      <c r="H55" s="22">
        <f t="shared" si="4"/>
        <v>9.6940000000000008</v>
      </c>
      <c r="I55" s="23">
        <f t="shared" si="5"/>
        <v>7.8215767634854769</v>
      </c>
      <c r="J55" s="24"/>
    </row>
    <row r="56" spans="1:10" x14ac:dyDescent="0.3">
      <c r="A56" s="11" t="s">
        <v>63</v>
      </c>
      <c r="B56" s="12">
        <v>80.05</v>
      </c>
      <c r="C56" s="13">
        <v>4985</v>
      </c>
      <c r="D56" s="14">
        <v>14918</v>
      </c>
      <c r="E56" s="14">
        <v>10645</v>
      </c>
      <c r="F56" s="14">
        <v>5847</v>
      </c>
      <c r="G56" s="15">
        <f t="shared" si="3"/>
        <v>14.917999999999999</v>
      </c>
      <c r="H56" s="15">
        <f t="shared" si="4"/>
        <v>10.645</v>
      </c>
      <c r="I56" s="16">
        <f t="shared" si="5"/>
        <v>2.551393877201984</v>
      </c>
      <c r="J56" s="17"/>
    </row>
    <row r="57" spans="1:10" x14ac:dyDescent="0.3">
      <c r="A57" s="18" t="s">
        <v>64</v>
      </c>
      <c r="B57" s="19">
        <v>79.150000000000006</v>
      </c>
      <c r="C57" s="20">
        <v>4180</v>
      </c>
      <c r="D57" s="21">
        <v>14574</v>
      </c>
      <c r="E57" s="21">
        <v>11022</v>
      </c>
      <c r="F57" s="21">
        <v>4408</v>
      </c>
      <c r="G57" s="22">
        <f t="shared" si="3"/>
        <v>14.574</v>
      </c>
      <c r="H57" s="22">
        <f t="shared" si="4"/>
        <v>11.022</v>
      </c>
      <c r="I57" s="23">
        <f t="shared" si="5"/>
        <v>3.3062613430127041</v>
      </c>
      <c r="J57" s="24"/>
    </row>
    <row r="58" spans="1:10" x14ac:dyDescent="0.3">
      <c r="A58" s="18" t="s">
        <v>65</v>
      </c>
      <c r="B58" s="19">
        <v>104.78</v>
      </c>
      <c r="C58" s="20">
        <v>4041</v>
      </c>
      <c r="D58" s="21">
        <v>13240</v>
      </c>
      <c r="E58" s="21">
        <v>10116</v>
      </c>
      <c r="F58" s="21">
        <v>3978</v>
      </c>
      <c r="G58" s="22">
        <f t="shared" si="3"/>
        <v>13.24</v>
      </c>
      <c r="H58" s="22">
        <f t="shared" si="4"/>
        <v>10.116</v>
      </c>
      <c r="I58" s="23">
        <f t="shared" si="5"/>
        <v>3.3283056812468579</v>
      </c>
      <c r="J58" s="24"/>
    </row>
    <row r="59" spans="1:10" x14ac:dyDescent="0.3">
      <c r="A59" s="4" t="s">
        <v>66</v>
      </c>
      <c r="B59" s="5">
        <v>78.33</v>
      </c>
      <c r="C59" s="6">
        <v>5069</v>
      </c>
      <c r="D59" s="7">
        <v>13172</v>
      </c>
      <c r="E59" s="7">
        <v>10506</v>
      </c>
      <c r="F59" s="7">
        <v>7908</v>
      </c>
      <c r="G59" s="8">
        <f t="shared" si="3"/>
        <v>13.172000000000001</v>
      </c>
      <c r="H59" s="8">
        <f t="shared" si="4"/>
        <v>10.506</v>
      </c>
      <c r="I59" s="9">
        <f t="shared" si="5"/>
        <v>1.6656550328780981</v>
      </c>
      <c r="J59" s="10"/>
    </row>
    <row r="60" spans="1:10" x14ac:dyDescent="0.3">
      <c r="A60" s="18" t="s">
        <v>67</v>
      </c>
      <c r="B60" s="19">
        <v>32.04</v>
      </c>
      <c r="C60" s="20">
        <v>2762</v>
      </c>
      <c r="D60" s="21">
        <v>13124</v>
      </c>
      <c r="E60" s="21">
        <v>11700</v>
      </c>
      <c r="F60" s="21">
        <v>3935</v>
      </c>
      <c r="G60" s="22">
        <f t="shared" si="3"/>
        <v>13.124000000000001</v>
      </c>
      <c r="H60" s="22">
        <f t="shared" si="4"/>
        <v>11.7</v>
      </c>
      <c r="I60" s="23">
        <f t="shared" si="5"/>
        <v>3.3351969504447267</v>
      </c>
      <c r="J60" s="24"/>
    </row>
    <row r="61" spans="1:10" x14ac:dyDescent="0.3">
      <c r="A61" s="4" t="s">
        <v>68</v>
      </c>
      <c r="B61" s="5">
        <v>74.59</v>
      </c>
      <c r="C61" s="6">
        <v>3596</v>
      </c>
      <c r="D61" s="7">
        <v>12709</v>
      </c>
      <c r="E61" s="7">
        <v>9694</v>
      </c>
      <c r="F61" s="7">
        <v>7374</v>
      </c>
      <c r="G61" s="8">
        <f t="shared" si="3"/>
        <v>12.709</v>
      </c>
      <c r="H61" s="8">
        <f t="shared" si="4"/>
        <v>9.6940000000000008</v>
      </c>
      <c r="I61" s="9">
        <f t="shared" si="5"/>
        <v>1.7234879305668565</v>
      </c>
      <c r="J61" s="10"/>
    </row>
    <row r="62" spans="1:10" x14ac:dyDescent="0.3">
      <c r="A62" s="18" t="s">
        <v>69</v>
      </c>
      <c r="B62" s="19">
        <v>312.08</v>
      </c>
      <c r="C62" s="20">
        <v>8167</v>
      </c>
      <c r="D62" s="21">
        <v>12667</v>
      </c>
      <c r="E62" s="21">
        <v>4573</v>
      </c>
      <c r="F62" s="21">
        <v>2990</v>
      </c>
      <c r="G62" s="22">
        <f t="shared" si="3"/>
        <v>12.667</v>
      </c>
      <c r="H62" s="22">
        <f t="shared" si="4"/>
        <v>4.5730000000000004</v>
      </c>
      <c r="I62" s="23">
        <f t="shared" si="5"/>
        <v>4.2364548494983278</v>
      </c>
      <c r="J62" s="24"/>
    </row>
    <row r="63" spans="1:10" x14ac:dyDescent="0.3">
      <c r="A63" s="4" t="s">
        <v>70</v>
      </c>
      <c r="B63" s="5">
        <v>110.4</v>
      </c>
      <c r="C63" s="6">
        <v>5184</v>
      </c>
      <c r="D63" s="7">
        <v>12547</v>
      </c>
      <c r="E63" s="7">
        <v>6067</v>
      </c>
      <c r="F63" s="7">
        <v>4447</v>
      </c>
      <c r="G63" s="8">
        <f t="shared" si="3"/>
        <v>12.547000000000001</v>
      </c>
      <c r="H63" s="8">
        <f t="shared" si="4"/>
        <v>6.0670000000000002</v>
      </c>
      <c r="I63" s="9">
        <f t="shared" si="5"/>
        <v>2.8214526647177873</v>
      </c>
      <c r="J63" s="10"/>
    </row>
    <row r="64" spans="1:10" x14ac:dyDescent="0.3">
      <c r="A64" s="18" t="s">
        <v>71</v>
      </c>
      <c r="B64" s="19">
        <v>93.05</v>
      </c>
      <c r="C64" s="20">
        <v>3926</v>
      </c>
      <c r="D64" s="21">
        <v>12377</v>
      </c>
      <c r="E64" s="21">
        <v>5351</v>
      </c>
      <c r="F64" s="21">
        <v>3198</v>
      </c>
      <c r="G64" s="22">
        <f t="shared" si="3"/>
        <v>12.377000000000001</v>
      </c>
      <c r="H64" s="22">
        <f t="shared" si="4"/>
        <v>5.351</v>
      </c>
      <c r="I64" s="23">
        <f t="shared" si="5"/>
        <v>3.8702313946216385</v>
      </c>
      <c r="J64" s="24"/>
    </row>
    <row r="65" spans="1:10" x14ac:dyDescent="0.3">
      <c r="A65" s="4" t="s">
        <v>72</v>
      </c>
      <c r="B65" s="5">
        <v>246.77</v>
      </c>
      <c r="C65" s="6">
        <v>6525</v>
      </c>
      <c r="D65" s="7">
        <v>12205</v>
      </c>
      <c r="E65" s="7">
        <v>8770</v>
      </c>
      <c r="F65" s="7">
        <v>5164</v>
      </c>
      <c r="G65" s="8">
        <f t="shared" si="3"/>
        <v>12.205</v>
      </c>
      <c r="H65" s="8">
        <f t="shared" si="4"/>
        <v>8.77</v>
      </c>
      <c r="I65" s="9">
        <f t="shared" si="5"/>
        <v>2.3634779240898527</v>
      </c>
      <c r="J65" s="10"/>
    </row>
    <row r="66" spans="1:10" x14ac:dyDescent="0.3">
      <c r="A66" s="18" t="s">
        <v>73</v>
      </c>
      <c r="B66" s="19">
        <v>209.08</v>
      </c>
      <c r="C66" s="20">
        <v>5759</v>
      </c>
      <c r="D66" s="21">
        <v>11853</v>
      </c>
      <c r="E66" s="21">
        <v>6811</v>
      </c>
      <c r="F66" s="21">
        <v>3630</v>
      </c>
      <c r="G66" s="22">
        <f t="shared" si="3"/>
        <v>11.853</v>
      </c>
      <c r="H66" s="22">
        <f t="shared" si="4"/>
        <v>6.8109999999999999</v>
      </c>
      <c r="I66" s="23">
        <f t="shared" si="5"/>
        <v>3.2652892561983471</v>
      </c>
      <c r="J66" s="24"/>
    </row>
    <row r="67" spans="1:10" x14ac:dyDescent="0.3">
      <c r="A67" s="4" t="s">
        <v>74</v>
      </c>
      <c r="B67" s="5">
        <v>101.05</v>
      </c>
      <c r="C67" s="6">
        <v>4269</v>
      </c>
      <c r="D67" s="7">
        <v>11699</v>
      </c>
      <c r="E67" s="7">
        <v>8989</v>
      </c>
      <c r="F67" s="7">
        <v>6867</v>
      </c>
      <c r="G67" s="8">
        <f t="shared" si="3"/>
        <v>11.699</v>
      </c>
      <c r="H67" s="8">
        <f t="shared" si="4"/>
        <v>8.9890000000000008</v>
      </c>
      <c r="I67" s="9">
        <f t="shared" si="5"/>
        <v>1.7036551623707588</v>
      </c>
      <c r="J67" s="10"/>
    </row>
    <row r="68" spans="1:10" x14ac:dyDescent="0.3">
      <c r="A68" s="18" t="s">
        <v>75</v>
      </c>
      <c r="B68" s="19">
        <v>100.37</v>
      </c>
      <c r="C68" s="20">
        <v>4407</v>
      </c>
      <c r="D68" s="21">
        <v>11435</v>
      </c>
      <c r="E68" s="21">
        <v>7625</v>
      </c>
      <c r="F68" s="21">
        <v>2953</v>
      </c>
      <c r="G68" s="22">
        <f t="shared" si="3"/>
        <v>11.435</v>
      </c>
      <c r="H68" s="22">
        <f t="shared" si="4"/>
        <v>7.625</v>
      </c>
      <c r="I68" s="23">
        <f t="shared" si="5"/>
        <v>3.8723332204537759</v>
      </c>
      <c r="J68" s="24"/>
    </row>
    <row r="69" spans="1:10" x14ac:dyDescent="0.3">
      <c r="A69" s="4" t="s">
        <v>76</v>
      </c>
      <c r="B69" s="5">
        <v>109.38</v>
      </c>
      <c r="C69" s="6">
        <v>5079</v>
      </c>
      <c r="D69" s="7">
        <v>11350</v>
      </c>
      <c r="E69" s="7">
        <v>7555</v>
      </c>
      <c r="F69" s="7">
        <v>5761</v>
      </c>
      <c r="G69" s="8">
        <f t="shared" ref="G69:G100" si="6">D69/1000</f>
        <v>11.35</v>
      </c>
      <c r="H69" s="8">
        <f t="shared" ref="H69:H100" si="7">E69/1000</f>
        <v>7.5549999999999997</v>
      </c>
      <c r="I69" s="9">
        <f t="shared" ref="I69:I100" si="8">IFERROR(D69/F69,"")</f>
        <v>1.9701440722096859</v>
      </c>
      <c r="J69" s="10"/>
    </row>
    <row r="70" spans="1:10" x14ac:dyDescent="0.3">
      <c r="A70" s="11" t="s">
        <v>77</v>
      </c>
      <c r="B70" s="12">
        <v>176.33</v>
      </c>
      <c r="C70" s="13">
        <v>5651</v>
      </c>
      <c r="D70" s="14">
        <v>11183</v>
      </c>
      <c r="E70" s="14">
        <v>7870</v>
      </c>
      <c r="F70" s="14">
        <v>5142</v>
      </c>
      <c r="G70" s="15">
        <f t="shared" si="6"/>
        <v>11.183</v>
      </c>
      <c r="H70" s="15">
        <f t="shared" si="7"/>
        <v>7.87</v>
      </c>
      <c r="I70" s="16">
        <f t="shared" si="8"/>
        <v>2.1748346946713339</v>
      </c>
      <c r="J70" s="17"/>
    </row>
    <row r="71" spans="1:10" x14ac:dyDescent="0.3">
      <c r="A71" s="4" t="s">
        <v>78</v>
      </c>
      <c r="B71" s="5">
        <v>132.13</v>
      </c>
      <c r="C71" s="6">
        <v>5473</v>
      </c>
      <c r="D71" s="7">
        <v>11054</v>
      </c>
      <c r="E71" s="7">
        <v>6958</v>
      </c>
      <c r="F71" s="7">
        <v>3937</v>
      </c>
      <c r="G71" s="8">
        <f t="shared" si="6"/>
        <v>11.054</v>
      </c>
      <c r="H71" s="8">
        <f t="shared" si="7"/>
        <v>6.9580000000000002</v>
      </c>
      <c r="I71" s="9">
        <f t="shared" si="8"/>
        <v>2.807721615443231</v>
      </c>
      <c r="J71" s="10"/>
    </row>
    <row r="72" spans="1:10" x14ac:dyDescent="0.3">
      <c r="A72" s="11" t="s">
        <v>79</v>
      </c>
      <c r="B72" s="12">
        <v>43.93</v>
      </c>
      <c r="C72" s="13">
        <v>3465</v>
      </c>
      <c r="D72" s="14">
        <v>11043</v>
      </c>
      <c r="E72" s="14">
        <v>6074</v>
      </c>
      <c r="F72" s="14">
        <v>5178</v>
      </c>
      <c r="G72" s="15">
        <f t="shared" si="6"/>
        <v>11.042999999999999</v>
      </c>
      <c r="H72" s="15">
        <f t="shared" si="7"/>
        <v>6.0739999999999998</v>
      </c>
      <c r="I72" s="16">
        <f t="shared" si="8"/>
        <v>2.1326767091541137</v>
      </c>
      <c r="J72" s="17"/>
    </row>
    <row r="73" spans="1:10" x14ac:dyDescent="0.3">
      <c r="A73" s="4" t="s">
        <v>80</v>
      </c>
      <c r="B73" s="5">
        <v>86.21</v>
      </c>
      <c r="C73" s="6">
        <v>5979</v>
      </c>
      <c r="D73" s="7">
        <v>11033</v>
      </c>
      <c r="E73" s="7">
        <v>7906</v>
      </c>
      <c r="F73" s="7">
        <v>6802</v>
      </c>
      <c r="G73" s="8">
        <f t="shared" si="6"/>
        <v>11.032999999999999</v>
      </c>
      <c r="H73" s="8">
        <f t="shared" si="7"/>
        <v>7.9059999999999997</v>
      </c>
      <c r="I73" s="9">
        <f t="shared" si="8"/>
        <v>1.6220229344310497</v>
      </c>
      <c r="J73" s="10"/>
    </row>
    <row r="74" spans="1:10" x14ac:dyDescent="0.3">
      <c r="A74" s="18" t="s">
        <v>81</v>
      </c>
      <c r="B74" s="19">
        <v>247.22</v>
      </c>
      <c r="C74" s="20">
        <v>7477</v>
      </c>
      <c r="D74" s="21">
        <v>10972</v>
      </c>
      <c r="E74" s="21">
        <v>2347</v>
      </c>
      <c r="F74" s="21">
        <v>1751</v>
      </c>
      <c r="G74" s="22">
        <f t="shared" si="6"/>
        <v>10.972</v>
      </c>
      <c r="H74" s="22">
        <f t="shared" si="7"/>
        <v>2.347</v>
      </c>
      <c r="I74" s="23">
        <f t="shared" si="8"/>
        <v>6.2661336379211878</v>
      </c>
      <c r="J74" s="24"/>
    </row>
    <row r="75" spans="1:10" x14ac:dyDescent="0.3">
      <c r="A75" s="4" t="s">
        <v>82</v>
      </c>
      <c r="B75" s="5">
        <v>96.41</v>
      </c>
      <c r="C75" s="6">
        <v>4554</v>
      </c>
      <c r="D75" s="7">
        <v>10887</v>
      </c>
      <c r="E75" s="7">
        <v>8419</v>
      </c>
      <c r="F75" s="7">
        <v>6968</v>
      </c>
      <c r="G75" s="8">
        <f t="shared" si="6"/>
        <v>10.887</v>
      </c>
      <c r="H75" s="8">
        <f t="shared" si="7"/>
        <v>8.4190000000000005</v>
      </c>
      <c r="I75" s="9">
        <f t="shared" si="8"/>
        <v>1.5624282433983927</v>
      </c>
      <c r="J75" s="10"/>
    </row>
    <row r="76" spans="1:10" x14ac:dyDescent="0.3">
      <c r="A76" s="18" t="s">
        <v>83</v>
      </c>
      <c r="B76" s="19">
        <v>37.21</v>
      </c>
      <c r="C76" s="20">
        <v>2593</v>
      </c>
      <c r="D76" s="21">
        <v>10789</v>
      </c>
      <c r="E76" s="21">
        <v>9497</v>
      </c>
      <c r="F76" s="21">
        <v>7608</v>
      </c>
      <c r="G76" s="22">
        <f t="shared" si="6"/>
        <v>10.789</v>
      </c>
      <c r="H76" s="22">
        <f t="shared" si="7"/>
        <v>9.4969999999999999</v>
      </c>
      <c r="I76" s="23">
        <f t="shared" si="8"/>
        <v>1.4181125131440588</v>
      </c>
      <c r="J76" s="25" t="s">
        <v>84</v>
      </c>
    </row>
    <row r="77" spans="1:10" x14ac:dyDescent="0.3">
      <c r="A77" s="4" t="s">
        <v>85</v>
      </c>
      <c r="B77" s="5">
        <v>58.54</v>
      </c>
      <c r="C77" s="6">
        <v>3224</v>
      </c>
      <c r="D77" s="7">
        <v>10769</v>
      </c>
      <c r="E77" s="7">
        <v>6019</v>
      </c>
      <c r="F77" s="7">
        <v>4831</v>
      </c>
      <c r="G77" s="8">
        <f t="shared" si="6"/>
        <v>10.769</v>
      </c>
      <c r="H77" s="8">
        <f t="shared" si="7"/>
        <v>6.0190000000000001</v>
      </c>
      <c r="I77" s="9">
        <f t="shared" si="8"/>
        <v>2.2291451045332229</v>
      </c>
      <c r="J77" s="10"/>
    </row>
    <row r="78" spans="1:10" x14ac:dyDescent="0.3">
      <c r="A78" s="11" t="s">
        <v>86</v>
      </c>
      <c r="B78" s="12">
        <v>104.14</v>
      </c>
      <c r="C78" s="13">
        <v>4954</v>
      </c>
      <c r="D78" s="14">
        <v>10767</v>
      </c>
      <c r="E78" s="14">
        <v>5890</v>
      </c>
      <c r="F78" s="14">
        <v>4772</v>
      </c>
      <c r="G78" s="15">
        <f t="shared" si="6"/>
        <v>10.766999999999999</v>
      </c>
      <c r="H78" s="15">
        <f t="shared" si="7"/>
        <v>5.89</v>
      </c>
      <c r="I78" s="16">
        <f t="shared" si="8"/>
        <v>2.2562866722548196</v>
      </c>
      <c r="J78" s="17"/>
    </row>
    <row r="79" spans="1:10" x14ac:dyDescent="0.3">
      <c r="A79" s="4" t="s">
        <v>87</v>
      </c>
      <c r="B79" s="5">
        <v>0.21</v>
      </c>
      <c r="C79" s="6">
        <v>206</v>
      </c>
      <c r="D79" s="7">
        <v>10690</v>
      </c>
      <c r="E79" s="7">
        <v>10568</v>
      </c>
      <c r="F79" s="7">
        <v>9173</v>
      </c>
      <c r="G79" s="8">
        <f t="shared" si="6"/>
        <v>10.69</v>
      </c>
      <c r="H79" s="8">
        <f t="shared" si="7"/>
        <v>10.568</v>
      </c>
      <c r="I79" s="9">
        <f t="shared" si="8"/>
        <v>1.1653766488607871</v>
      </c>
      <c r="J79" s="10"/>
    </row>
    <row r="80" spans="1:10" x14ac:dyDescent="0.3">
      <c r="A80" s="11" t="s">
        <v>88</v>
      </c>
      <c r="B80" s="12">
        <v>94.77</v>
      </c>
      <c r="C80" s="13">
        <v>4462</v>
      </c>
      <c r="D80" s="14">
        <v>10575</v>
      </c>
      <c r="E80" s="14">
        <v>7571</v>
      </c>
      <c r="F80" s="14">
        <v>5843</v>
      </c>
      <c r="G80" s="15">
        <f t="shared" si="6"/>
        <v>10.574999999999999</v>
      </c>
      <c r="H80" s="15">
        <f t="shared" si="7"/>
        <v>7.5709999999999997</v>
      </c>
      <c r="I80" s="16">
        <f t="shared" si="8"/>
        <v>1.8098579496833818</v>
      </c>
      <c r="J80" s="17"/>
    </row>
    <row r="81" spans="1:10" x14ac:dyDescent="0.3">
      <c r="A81" s="4" t="s">
        <v>89</v>
      </c>
      <c r="B81" s="5">
        <v>139.38</v>
      </c>
      <c r="C81" s="6">
        <v>6112</v>
      </c>
      <c r="D81" s="7">
        <v>10246</v>
      </c>
      <c r="E81" s="7">
        <v>5233</v>
      </c>
      <c r="F81" s="7">
        <v>3767</v>
      </c>
      <c r="G81" s="8">
        <f t="shared" si="6"/>
        <v>10.246</v>
      </c>
      <c r="H81" s="8">
        <f t="shared" si="7"/>
        <v>5.2329999999999997</v>
      </c>
      <c r="I81" s="9">
        <f t="shared" si="8"/>
        <v>2.7199362888239977</v>
      </c>
      <c r="J81" s="10"/>
    </row>
    <row r="82" spans="1:10" x14ac:dyDescent="0.3">
      <c r="A82" s="11" t="s">
        <v>90</v>
      </c>
      <c r="B82" s="12">
        <v>91.39</v>
      </c>
      <c r="C82" s="13">
        <v>4209</v>
      </c>
      <c r="D82" s="14">
        <v>10176</v>
      </c>
      <c r="E82" s="14">
        <v>7511</v>
      </c>
      <c r="F82" s="14">
        <v>6096</v>
      </c>
      <c r="G82" s="15">
        <f t="shared" si="6"/>
        <v>10.176</v>
      </c>
      <c r="H82" s="15">
        <f t="shared" si="7"/>
        <v>7.5110000000000001</v>
      </c>
      <c r="I82" s="16">
        <f t="shared" si="8"/>
        <v>1.6692913385826771</v>
      </c>
      <c r="J82" s="17"/>
    </row>
    <row r="83" spans="1:10" x14ac:dyDescent="0.3">
      <c r="A83" s="4" t="s">
        <v>91</v>
      </c>
      <c r="B83" s="5">
        <v>147.09</v>
      </c>
      <c r="C83" s="6">
        <v>6062</v>
      </c>
      <c r="D83" s="7">
        <v>10088</v>
      </c>
      <c r="E83" s="7">
        <v>6546</v>
      </c>
      <c r="F83" s="7">
        <v>3959</v>
      </c>
      <c r="G83" s="8">
        <f t="shared" si="6"/>
        <v>10.087999999999999</v>
      </c>
      <c r="H83" s="8">
        <f t="shared" si="7"/>
        <v>6.5460000000000003</v>
      </c>
      <c r="I83" s="9">
        <f t="shared" si="8"/>
        <v>2.5481182116696135</v>
      </c>
      <c r="J83" s="10"/>
    </row>
    <row r="84" spans="1:10" x14ac:dyDescent="0.3">
      <c r="A84" s="11" t="s">
        <v>92</v>
      </c>
      <c r="B84" s="12">
        <v>45.19</v>
      </c>
      <c r="C84" s="13">
        <v>2949</v>
      </c>
      <c r="D84" s="14">
        <v>9991</v>
      </c>
      <c r="E84" s="14">
        <v>8033</v>
      </c>
      <c r="F84" s="14">
        <v>6598</v>
      </c>
      <c r="G84" s="15">
        <f t="shared" si="6"/>
        <v>9.9909999999999997</v>
      </c>
      <c r="H84" s="15">
        <f t="shared" si="7"/>
        <v>8.0329999999999995</v>
      </c>
      <c r="I84" s="16">
        <f t="shared" si="8"/>
        <v>1.514246741436799</v>
      </c>
      <c r="J84" s="17"/>
    </row>
    <row r="85" spans="1:10" x14ac:dyDescent="0.3">
      <c r="A85" s="18" t="s">
        <v>93</v>
      </c>
      <c r="B85" s="19">
        <v>158.96</v>
      </c>
      <c r="C85" s="20">
        <v>5463</v>
      </c>
      <c r="D85" s="21">
        <v>9501</v>
      </c>
      <c r="E85" s="21">
        <v>2927</v>
      </c>
      <c r="F85" s="21">
        <v>1794</v>
      </c>
      <c r="G85" s="22">
        <f t="shared" si="6"/>
        <v>9.5009999999999994</v>
      </c>
      <c r="H85" s="22">
        <f t="shared" si="7"/>
        <v>2.927</v>
      </c>
      <c r="I85" s="23">
        <f t="shared" si="8"/>
        <v>5.2959866220735785</v>
      </c>
      <c r="J85" s="24"/>
    </row>
    <row r="86" spans="1:10" x14ac:dyDescent="0.3">
      <c r="A86" s="18" t="s">
        <v>94</v>
      </c>
      <c r="B86" s="19">
        <v>127.02</v>
      </c>
      <c r="C86" s="20">
        <v>5903</v>
      </c>
      <c r="D86" s="21">
        <v>9496</v>
      </c>
      <c r="E86" s="21">
        <v>4616</v>
      </c>
      <c r="F86" s="21">
        <v>2368</v>
      </c>
      <c r="G86" s="22">
        <f t="shared" si="6"/>
        <v>9.4960000000000004</v>
      </c>
      <c r="H86" s="22">
        <f t="shared" si="7"/>
        <v>4.6159999999999997</v>
      </c>
      <c r="I86" s="23">
        <f t="shared" si="8"/>
        <v>4.0101351351351351</v>
      </c>
      <c r="J86" s="24"/>
    </row>
    <row r="87" spans="1:10" x14ac:dyDescent="0.3">
      <c r="A87" s="18" t="s">
        <v>95</v>
      </c>
      <c r="B87" s="19">
        <v>77.14</v>
      </c>
      <c r="C87" s="20">
        <v>4019</v>
      </c>
      <c r="D87" s="21">
        <v>9332</v>
      </c>
      <c r="E87" s="21">
        <v>6807</v>
      </c>
      <c r="F87" s="21">
        <v>2427</v>
      </c>
      <c r="G87" s="22">
        <f t="shared" si="6"/>
        <v>9.3320000000000007</v>
      </c>
      <c r="H87" s="22">
        <f t="shared" si="7"/>
        <v>6.8070000000000004</v>
      </c>
      <c r="I87" s="23">
        <f t="shared" si="8"/>
        <v>3.8450762257931603</v>
      </c>
      <c r="J87" s="24"/>
    </row>
    <row r="88" spans="1:10" x14ac:dyDescent="0.3">
      <c r="A88" s="18" t="s">
        <v>96</v>
      </c>
      <c r="B88" s="19">
        <v>77.3</v>
      </c>
      <c r="C88" s="20">
        <v>3938</v>
      </c>
      <c r="D88" s="21">
        <v>9332</v>
      </c>
      <c r="E88" s="21">
        <v>6369</v>
      </c>
      <c r="F88" s="21">
        <v>2947</v>
      </c>
      <c r="G88" s="22">
        <f t="shared" si="6"/>
        <v>9.3320000000000007</v>
      </c>
      <c r="H88" s="22">
        <f t="shared" si="7"/>
        <v>6.3689999999999998</v>
      </c>
      <c r="I88" s="23">
        <f t="shared" si="8"/>
        <v>3.166610111978283</v>
      </c>
      <c r="J88" s="24"/>
    </row>
    <row r="89" spans="1:10" x14ac:dyDescent="0.3">
      <c r="A89" s="4" t="s">
        <v>97</v>
      </c>
      <c r="B89" s="5">
        <v>120.66</v>
      </c>
      <c r="C89" s="6">
        <v>4600</v>
      </c>
      <c r="D89" s="7">
        <v>9267</v>
      </c>
      <c r="E89" s="7">
        <v>6759</v>
      </c>
      <c r="F89" s="7">
        <v>5126</v>
      </c>
      <c r="G89" s="8">
        <f t="shared" si="6"/>
        <v>9.2669999999999995</v>
      </c>
      <c r="H89" s="8">
        <f t="shared" si="7"/>
        <v>6.7590000000000003</v>
      </c>
      <c r="I89" s="9">
        <f t="shared" si="8"/>
        <v>1.8078423722200547</v>
      </c>
      <c r="J89" s="10"/>
    </row>
    <row r="90" spans="1:10" x14ac:dyDescent="0.3">
      <c r="A90" s="18" t="s">
        <v>98</v>
      </c>
      <c r="B90" s="19">
        <v>96.41</v>
      </c>
      <c r="C90" s="20">
        <v>4397</v>
      </c>
      <c r="D90" s="21">
        <v>9064</v>
      </c>
      <c r="E90" s="21">
        <v>4591</v>
      </c>
      <c r="F90" s="21">
        <v>2762</v>
      </c>
      <c r="G90" s="22">
        <f t="shared" si="6"/>
        <v>9.0640000000000001</v>
      </c>
      <c r="H90" s="22">
        <f t="shared" si="7"/>
        <v>4.5910000000000002</v>
      </c>
      <c r="I90" s="23">
        <f t="shared" si="8"/>
        <v>3.281679942070963</v>
      </c>
      <c r="J90" s="24"/>
    </row>
    <row r="91" spans="1:10" x14ac:dyDescent="0.3">
      <c r="A91" s="4" t="s">
        <v>99</v>
      </c>
      <c r="B91" s="5">
        <v>112.41</v>
      </c>
      <c r="C91" s="6">
        <v>4665</v>
      </c>
      <c r="D91" s="7">
        <v>9064</v>
      </c>
      <c r="E91" s="7">
        <v>5353</v>
      </c>
      <c r="F91" s="7">
        <v>3318</v>
      </c>
      <c r="G91" s="8">
        <f t="shared" si="6"/>
        <v>9.0640000000000001</v>
      </c>
      <c r="H91" s="8">
        <f t="shared" si="7"/>
        <v>5.3529999999999998</v>
      </c>
      <c r="I91" s="9">
        <f t="shared" si="8"/>
        <v>2.7317661241711875</v>
      </c>
      <c r="J91" s="10"/>
    </row>
    <row r="92" spans="1:10" x14ac:dyDescent="0.3">
      <c r="A92" s="11" t="s">
        <v>100</v>
      </c>
      <c r="B92" s="12">
        <v>48.41</v>
      </c>
      <c r="C92" s="13">
        <v>2741</v>
      </c>
      <c r="D92" s="14">
        <v>9027</v>
      </c>
      <c r="E92" s="14">
        <v>7286</v>
      </c>
      <c r="F92" s="14">
        <v>6276</v>
      </c>
      <c r="G92" s="15">
        <f t="shared" si="6"/>
        <v>9.0269999999999992</v>
      </c>
      <c r="H92" s="15">
        <f t="shared" si="7"/>
        <v>7.2859999999999996</v>
      </c>
      <c r="I92" s="16">
        <f t="shared" si="8"/>
        <v>1.4383365200764819</v>
      </c>
      <c r="J92" s="17"/>
    </row>
    <row r="93" spans="1:10" x14ac:dyDescent="0.3">
      <c r="A93" s="18" t="s">
        <v>101</v>
      </c>
      <c r="B93" s="19">
        <v>81.709999999999994</v>
      </c>
      <c r="C93" s="20">
        <v>3644</v>
      </c>
      <c r="D93" s="21">
        <v>9006</v>
      </c>
      <c r="E93" s="21">
        <v>2135</v>
      </c>
      <c r="F93" s="21">
        <v>1405</v>
      </c>
      <c r="G93" s="22">
        <f t="shared" si="6"/>
        <v>9.0060000000000002</v>
      </c>
      <c r="H93" s="22">
        <f t="shared" si="7"/>
        <v>2.1349999999999998</v>
      </c>
      <c r="I93" s="23">
        <f t="shared" si="8"/>
        <v>6.4099644128113882</v>
      </c>
      <c r="J93" s="24"/>
    </row>
    <row r="94" spans="1:10" x14ac:dyDescent="0.3">
      <c r="A94" s="11" t="s">
        <v>102</v>
      </c>
      <c r="B94" s="12">
        <v>135.9</v>
      </c>
      <c r="C94" s="13">
        <v>5486</v>
      </c>
      <c r="D94" s="14">
        <v>8597</v>
      </c>
      <c r="E94" s="14">
        <v>4839</v>
      </c>
      <c r="F94" s="14">
        <v>3753</v>
      </c>
      <c r="G94" s="15">
        <f t="shared" si="6"/>
        <v>8.5969999999999995</v>
      </c>
      <c r="H94" s="15">
        <f t="shared" si="7"/>
        <v>4.8390000000000004</v>
      </c>
      <c r="I94" s="16">
        <f t="shared" si="8"/>
        <v>2.2907007727151614</v>
      </c>
      <c r="J94" s="17"/>
    </row>
    <row r="95" spans="1:10" x14ac:dyDescent="0.3">
      <c r="A95" s="18" t="s">
        <v>103</v>
      </c>
      <c r="B95" s="19">
        <v>181.22</v>
      </c>
      <c r="C95" s="20">
        <v>5265</v>
      </c>
      <c r="D95" s="21">
        <v>8185</v>
      </c>
      <c r="E95" s="21">
        <v>3364</v>
      </c>
      <c r="F95" s="21">
        <v>2399</v>
      </c>
      <c r="G95" s="22">
        <f t="shared" si="6"/>
        <v>8.1850000000000005</v>
      </c>
      <c r="H95" s="22">
        <f t="shared" si="7"/>
        <v>3.3639999999999999</v>
      </c>
      <c r="I95" s="23">
        <f t="shared" si="8"/>
        <v>3.4118382659441435</v>
      </c>
      <c r="J95" s="24"/>
    </row>
    <row r="96" spans="1:10" x14ac:dyDescent="0.3">
      <c r="A96" s="18" t="s">
        <v>104</v>
      </c>
      <c r="B96" s="19">
        <v>126.14</v>
      </c>
      <c r="C96" s="20">
        <v>5327</v>
      </c>
      <c r="D96" s="21">
        <v>8096</v>
      </c>
      <c r="E96" s="21">
        <v>3399</v>
      </c>
      <c r="F96" s="21">
        <v>2501</v>
      </c>
      <c r="G96" s="22">
        <f t="shared" si="6"/>
        <v>8.0960000000000001</v>
      </c>
      <c r="H96" s="22">
        <f t="shared" si="7"/>
        <v>3.399</v>
      </c>
      <c r="I96" s="23">
        <f t="shared" si="8"/>
        <v>3.2371051579368251</v>
      </c>
      <c r="J96" s="24"/>
    </row>
    <row r="97" spans="1:10" x14ac:dyDescent="0.3">
      <c r="A97" s="4" t="s">
        <v>105</v>
      </c>
      <c r="B97" s="5">
        <v>120.74</v>
      </c>
      <c r="C97" s="6">
        <v>4912</v>
      </c>
      <c r="D97" s="7">
        <v>7782</v>
      </c>
      <c r="E97" s="7">
        <v>5329</v>
      </c>
      <c r="F97" s="7">
        <v>3467</v>
      </c>
      <c r="G97" s="8">
        <f t="shared" si="6"/>
        <v>7.782</v>
      </c>
      <c r="H97" s="8">
        <f t="shared" si="7"/>
        <v>5.3289999999999997</v>
      </c>
      <c r="I97" s="9">
        <f t="shared" si="8"/>
        <v>2.2445918661667146</v>
      </c>
      <c r="J97" s="10"/>
    </row>
    <row r="98" spans="1:10" x14ac:dyDescent="0.3">
      <c r="A98" s="18" t="s">
        <v>106</v>
      </c>
      <c r="B98" s="19">
        <v>101.37</v>
      </c>
      <c r="C98" s="20">
        <v>4345</v>
      </c>
      <c r="D98" s="21">
        <v>7607</v>
      </c>
      <c r="E98" s="21">
        <v>1847</v>
      </c>
      <c r="F98" s="21">
        <v>1064</v>
      </c>
      <c r="G98" s="22">
        <f t="shared" si="6"/>
        <v>7.6070000000000002</v>
      </c>
      <c r="H98" s="22">
        <f t="shared" si="7"/>
        <v>1.847</v>
      </c>
      <c r="I98" s="23">
        <f t="shared" si="8"/>
        <v>7.1494360902255636</v>
      </c>
      <c r="J98" s="24"/>
    </row>
    <row r="99" spans="1:10" x14ac:dyDescent="0.3">
      <c r="A99" s="18" t="s">
        <v>107</v>
      </c>
      <c r="B99" s="19">
        <v>116.19</v>
      </c>
      <c r="C99" s="20">
        <v>5494</v>
      </c>
      <c r="D99" s="21">
        <v>7101</v>
      </c>
      <c r="E99" s="21">
        <v>1674</v>
      </c>
      <c r="F99" s="21">
        <v>859</v>
      </c>
      <c r="G99" s="22">
        <f t="shared" si="6"/>
        <v>7.101</v>
      </c>
      <c r="H99" s="22">
        <f t="shared" si="7"/>
        <v>1.6739999999999999</v>
      </c>
      <c r="I99" s="23">
        <f t="shared" si="8"/>
        <v>8.266589057043074</v>
      </c>
      <c r="J99" s="24"/>
    </row>
    <row r="100" spans="1:10" x14ac:dyDescent="0.3">
      <c r="A100" s="11" t="s">
        <v>108</v>
      </c>
      <c r="B100" s="12">
        <v>60.32</v>
      </c>
      <c r="C100" s="13">
        <v>3294</v>
      </c>
      <c r="D100" s="14">
        <v>6534</v>
      </c>
      <c r="E100" s="14">
        <v>4849</v>
      </c>
      <c r="F100" s="14">
        <v>3665</v>
      </c>
      <c r="G100" s="15">
        <f t="shared" si="6"/>
        <v>6.5339999999999998</v>
      </c>
      <c r="H100" s="15">
        <f t="shared" si="7"/>
        <v>4.8490000000000002</v>
      </c>
      <c r="I100" s="16">
        <f t="shared" si="8"/>
        <v>1.7828103683492496</v>
      </c>
      <c r="J100" s="17"/>
    </row>
    <row r="101" spans="1:10" x14ac:dyDescent="0.3">
      <c r="A101" s="18" t="s">
        <v>109</v>
      </c>
      <c r="B101" s="19">
        <v>77.569999999999993</v>
      </c>
      <c r="C101" s="20">
        <v>4424</v>
      </c>
      <c r="D101" s="21">
        <v>6350</v>
      </c>
      <c r="E101" s="21">
        <v>2647</v>
      </c>
      <c r="F101" s="21">
        <v>1818</v>
      </c>
      <c r="G101" s="22">
        <f t="shared" ref="G101:G107" si="9">D101/1000</f>
        <v>6.35</v>
      </c>
      <c r="H101" s="22">
        <f t="shared" ref="H101:H107" si="10">E101/1000</f>
        <v>2.6469999999999998</v>
      </c>
      <c r="I101" s="23">
        <f t="shared" ref="I101:I107" si="11">IFERROR(D101/F101,"")</f>
        <v>3.4928492849284929</v>
      </c>
      <c r="J101" s="24"/>
    </row>
    <row r="102" spans="1:10" x14ac:dyDescent="0.3">
      <c r="A102" s="18" t="s">
        <v>110</v>
      </c>
      <c r="B102" s="19">
        <v>109.08</v>
      </c>
      <c r="C102" s="20">
        <v>4750</v>
      </c>
      <c r="D102" s="21">
        <v>6155</v>
      </c>
      <c r="E102" s="21">
        <v>2347</v>
      </c>
      <c r="F102" s="21">
        <v>1817</v>
      </c>
      <c r="G102" s="22">
        <f t="shared" si="9"/>
        <v>6.1550000000000002</v>
      </c>
      <c r="H102" s="22">
        <f t="shared" si="10"/>
        <v>2.347</v>
      </c>
      <c r="I102" s="23">
        <f t="shared" si="11"/>
        <v>3.387451843698404</v>
      </c>
      <c r="J102" s="24"/>
    </row>
    <row r="103" spans="1:10" x14ac:dyDescent="0.3">
      <c r="A103" s="18" t="s">
        <v>111</v>
      </c>
      <c r="B103" s="19">
        <v>47.16</v>
      </c>
      <c r="C103" s="20">
        <v>3144</v>
      </c>
      <c r="D103" s="21">
        <v>5258</v>
      </c>
      <c r="E103" s="21">
        <v>3285</v>
      </c>
      <c r="F103" s="21">
        <v>1296</v>
      </c>
      <c r="G103" s="22">
        <f t="shared" si="9"/>
        <v>5.258</v>
      </c>
      <c r="H103" s="22">
        <f t="shared" si="10"/>
        <v>3.2850000000000001</v>
      </c>
      <c r="I103" s="23">
        <f t="shared" si="11"/>
        <v>4.0570987654320989</v>
      </c>
      <c r="J103" s="24"/>
    </row>
    <row r="104" spans="1:10" x14ac:dyDescent="0.3">
      <c r="A104" s="18" t="s">
        <v>112</v>
      </c>
      <c r="B104" s="19">
        <v>53.79</v>
      </c>
      <c r="C104" s="20">
        <v>3036</v>
      </c>
      <c r="D104" s="21">
        <v>3572</v>
      </c>
      <c r="E104" s="21">
        <v>1073</v>
      </c>
      <c r="F104" s="21">
        <v>607</v>
      </c>
      <c r="G104" s="22">
        <f t="shared" si="9"/>
        <v>3.5720000000000001</v>
      </c>
      <c r="H104" s="22">
        <f t="shared" si="10"/>
        <v>1.073</v>
      </c>
      <c r="I104" s="23">
        <f t="shared" si="11"/>
        <v>5.8846787479406917</v>
      </c>
      <c r="J104" s="24"/>
    </row>
    <row r="105" spans="1:10" x14ac:dyDescent="0.3">
      <c r="A105" s="4" t="s">
        <v>113</v>
      </c>
      <c r="B105" s="5">
        <v>16.989999999999998</v>
      </c>
      <c r="C105" s="6">
        <v>2254</v>
      </c>
      <c r="D105" s="7">
        <v>3547</v>
      </c>
      <c r="E105" s="7">
        <v>2344</v>
      </c>
      <c r="F105" s="7">
        <v>1819</v>
      </c>
      <c r="G105" s="8">
        <f t="shared" si="9"/>
        <v>3.5470000000000002</v>
      </c>
      <c r="H105" s="8">
        <f t="shared" si="10"/>
        <v>2.3439999999999999</v>
      </c>
      <c r="I105" s="9">
        <f t="shared" si="11"/>
        <v>1.9499725123694338</v>
      </c>
      <c r="J105" s="10"/>
    </row>
    <row r="106" spans="1:10" x14ac:dyDescent="0.3">
      <c r="A106" s="18" t="s">
        <v>114</v>
      </c>
      <c r="B106" s="19">
        <v>51.47</v>
      </c>
      <c r="C106" s="20">
        <v>3236</v>
      </c>
      <c r="D106" s="21">
        <v>2946</v>
      </c>
      <c r="E106" s="21">
        <v>1073</v>
      </c>
      <c r="F106" s="21">
        <v>648</v>
      </c>
      <c r="G106" s="22">
        <f t="shared" si="9"/>
        <v>2.9460000000000002</v>
      </c>
      <c r="H106" s="22">
        <f t="shared" si="10"/>
        <v>1.073</v>
      </c>
      <c r="I106" s="23">
        <f t="shared" si="11"/>
        <v>4.5462962962962967</v>
      </c>
      <c r="J106" s="24"/>
    </row>
    <row r="107" spans="1:10" x14ac:dyDescent="0.3">
      <c r="A107" s="18" t="s">
        <v>115</v>
      </c>
      <c r="B107" s="19">
        <v>46.71</v>
      </c>
      <c r="C107" s="20">
        <v>3528</v>
      </c>
      <c r="D107" s="21">
        <v>2799</v>
      </c>
      <c r="E107" s="21">
        <v>921</v>
      </c>
      <c r="F107" s="21">
        <v>363</v>
      </c>
      <c r="G107" s="22">
        <f t="shared" si="9"/>
        <v>2.7989999999999999</v>
      </c>
      <c r="H107" s="22">
        <f t="shared" si="10"/>
        <v>0.92100000000000004</v>
      </c>
      <c r="I107" s="23">
        <f t="shared" si="11"/>
        <v>7.7107438016528924</v>
      </c>
      <c r="J107" s="24"/>
    </row>
    <row r="109" spans="1:10" x14ac:dyDescent="0.3">
      <c r="A109" s="26" t="s">
        <v>116</v>
      </c>
      <c r="B109" s="27">
        <f>SUM(B5:B107)</f>
        <v>10566.599999999997</v>
      </c>
      <c r="D109" s="28">
        <f>MAX(D5:D107)</f>
        <v>32400</v>
      </c>
      <c r="G109" s="29">
        <f>IFERROR(MAX(G5:G107),"")</f>
        <v>32.4</v>
      </c>
      <c r="I109" s="30">
        <f>IFERROR(AVERAGE(I5:I107),"")</f>
        <v>5.8474791795359318</v>
      </c>
    </row>
    <row r="110" spans="1:10" x14ac:dyDescent="0.3">
      <c r="A110" s="31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118</v>
      </c>
    </row>
    <row r="3" spans="1:2" ht="30" customHeight="1" x14ac:dyDescent="0.3">
      <c r="A3" s="33" t="s">
        <v>119</v>
      </c>
      <c r="B3" s="34" t="s">
        <v>120</v>
      </c>
    </row>
    <row r="4" spans="1:2" ht="30" customHeight="1" x14ac:dyDescent="0.3">
      <c r="A4" s="33" t="s">
        <v>121</v>
      </c>
      <c r="B4" s="34" t="s">
        <v>122</v>
      </c>
    </row>
    <row r="5" spans="1:2" ht="30" customHeight="1" x14ac:dyDescent="0.3">
      <c r="A5" s="33" t="s">
        <v>123</v>
      </c>
      <c r="B5" s="34" t="s">
        <v>124</v>
      </c>
    </row>
    <row r="6" spans="1:2" ht="30" customHeight="1" x14ac:dyDescent="0.3">
      <c r="A6" s="33" t="s">
        <v>125</v>
      </c>
      <c r="B6" s="34" t="s">
        <v>126</v>
      </c>
    </row>
    <row r="7" spans="1:2" ht="30" customHeight="1" x14ac:dyDescent="0.3">
      <c r="A7" s="33" t="s">
        <v>127</v>
      </c>
      <c r="B7" s="34" t="s">
        <v>128</v>
      </c>
    </row>
    <row r="8" spans="1:2" ht="30" customHeight="1" x14ac:dyDescent="0.3">
      <c r="A8" s="33" t="s">
        <v>129</v>
      </c>
      <c r="B8" s="34" t="s">
        <v>130</v>
      </c>
    </row>
    <row r="9" spans="1:2" ht="30" customHeight="1" x14ac:dyDescent="0.3">
      <c r="A9" s="33" t="s">
        <v>131</v>
      </c>
      <c r="B9" s="34" t="s">
        <v>132</v>
      </c>
    </row>
    <row r="10" spans="1:2" ht="30" customHeight="1" x14ac:dyDescent="0.3">
      <c r="A10" s="33" t="s">
        <v>133</v>
      </c>
      <c r="B10" s="34" t="s">
        <v>134</v>
      </c>
    </row>
    <row r="11" spans="1:2" ht="30" customHeight="1" x14ac:dyDescent="0.3">
      <c r="A11" s="33" t="s">
        <v>135</v>
      </c>
      <c r="B11" s="34" t="s">
        <v>136</v>
      </c>
    </row>
    <row r="12" spans="1:2" ht="30" customHeight="1" x14ac:dyDescent="0.3">
      <c r="A12" s="33" t="s">
        <v>137</v>
      </c>
      <c r="B12" s="34" t="s">
        <v>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2026-09-15T19:18:09Z</dcterms:created>
  <dcterms:modified xsi:type="dcterms:W3CDTF">2026-09-15T19:18:56Z</dcterms:modified>
</cp:coreProperties>
</file>