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3ECEB2EF-6A79-4EBB-8A10-29CC513A9D8D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<sst xmlns="http://schemas.openxmlformats.org/spreadsheetml/2006/main" count="86" uniqueCount="86">
  <si>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</si>
  <si>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</si>
  <si>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</si>
  <si>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</si>
  <si>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</si>
  <si>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</si>
  <si>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</si>
  <si>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</si>
  <si>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</si>
  <si>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</si>
  <si>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</si>
  <si>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</si>
  <si>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T33</t>
  </si>
  <si>
    <t>T37</t>
  </si>
  <si>
    <t>T-18</t>
  </si>
  <si>
    <t>T-19</t>
  </si>
  <si>
    <t>T34</t>
  </si>
  <si>
    <t>T38</t>
  </si>
  <si>
    <t>T-14</t>
  </si>
  <si>
    <t>T-05B</t>
  </si>
  <si>
    <t>T-15A</t>
  </si>
  <si>
    <t>T-05S</t>
  </si>
  <si>
    <t>T-05A</t>
  </si>
  <si>
    <t>T-17</t>
  </si>
  <si>
    <t>T-08</t>
  </si>
  <si>
    <t>T-07A</t>
  </si>
  <si>
    <t>T-16A</t>
  </si>
  <si>
    <t>T-15C</t>
  </si>
  <si>
    <t>T-16B</t>
  </si>
  <si>
    <t>T-24</t>
  </si>
  <si>
    <t>T-06B</t>
  </si>
  <si>
    <t>T-04</t>
  </si>
  <si>
    <t>T-15B</t>
  </si>
  <si>
    <t>T-03</t>
  </si>
  <si>
    <t>T-06A</t>
  </si>
  <si>
    <t>T31</t>
  </si>
  <si>
    <t>T-22</t>
  </si>
  <si>
    <t>T-22A</t>
  </si>
  <si>
    <t>T-07B</t>
  </si>
  <si>
    <t>T-09</t>
  </si>
  <si>
    <t>T-13</t>
  </si>
  <si>
    <t>T-23</t>
  </si>
  <si>
    <t>T-10B</t>
  </si>
  <si>
    <t>T-12</t>
  </si>
  <si>
    <t>T-02</t>
  </si>
  <si>
    <t>T30</t>
  </si>
  <si>
    <t>T-01C</t>
  </si>
  <si>
    <t>T-20</t>
  </si>
  <si>
    <t>T-01A</t>
  </si>
  <si>
    <t>T-01B</t>
  </si>
  <si>
    <t>T-21</t>
  </si>
  <si>
    <t>T-21A</t>
  </si>
  <si>
    <t>T-20S</t>
  </si>
  <si>
    <t>T-11</t>
  </si>
  <si>
    <t>T-11A</t>
  </si>
  <si>
    <t>T-10S</t>
  </si>
  <si>
    <t>T-12S</t>
  </si>
  <si>
    <t>T-10A</t>
  </si>
  <si>
    <t>T-26</t>
  </si>
  <si>
    <t>T-27</t>
  </si>
  <si>
    <t>T-25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</si>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</sst>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149.61000000000001</v>
      </c>
      <c r="C5" s="6">
        <v>5003</v>
      </c>
      <c r="D5" s="7">
        <v>27126</v>
      </c>
      <c r="E5" s="7">
        <v>21296</v>
      </c>
      <c r="F5" s="7">
        <v>15887</v>
      </c>
      <c r="G5" s="8">
        <f t="shared" ref="G5:G36" si="0">D5/1000</f>
        <v>27.126000000000001</v>
      </c>
      <c r="H5" s="8">
        <f t="shared" ref="H5:H36" si="1">E5/1000</f>
        <v>21.295999999999999</v>
      </c>
      <c r="I5" s="9">
        <f t="shared" ref="I5:I36" si="2">IFERROR(D5/F5,"")</f>
        <v>1.7074337508654875</v>
      </c>
      <c r="J5" s="10"/>
    </row>
    <row r="6" spans="1:10" x14ac:dyDescent="0.3">
      <c r="A6" s="11" t="s">
        <v>13</v>
      </c>
      <c r="B6" s="12">
        <v>67.459999999999994</v>
      </c>
      <c r="C6" s="13">
        <v>3607</v>
      </c>
      <c r="D6" s="14">
        <v>27126</v>
      </c>
      <c r="E6" s="14">
        <v>23749</v>
      </c>
      <c r="F6" s="14">
        <v>16250</v>
      </c>
      <c r="G6" s="15">
        <f t="shared" si="0"/>
        <v>27.126000000000001</v>
      </c>
      <c r="H6" s="15">
        <f t="shared" si="1"/>
        <v>23.748999999999999</v>
      </c>
      <c r="I6" s="16">
        <f t="shared" si="2"/>
        <v>1.6692923076923076</v>
      </c>
      <c r="J6" s="17"/>
    </row>
    <row r="7" spans="1:10" x14ac:dyDescent="0.3">
      <c r="A7" s="4" t="s">
        <v>14</v>
      </c>
      <c r="B7" s="5">
        <v>115.23</v>
      </c>
      <c r="C7" s="6">
        <v>4528</v>
      </c>
      <c r="D7" s="7">
        <v>26812</v>
      </c>
      <c r="E7" s="7">
        <v>21622</v>
      </c>
      <c r="F7" s="7">
        <v>14106</v>
      </c>
      <c r="G7" s="8">
        <f t="shared" si="0"/>
        <v>26.812000000000001</v>
      </c>
      <c r="H7" s="8">
        <f t="shared" si="1"/>
        <v>21.622</v>
      </c>
      <c r="I7" s="9">
        <f t="shared" si="2"/>
        <v>1.9007514532822911</v>
      </c>
      <c r="J7" s="10"/>
    </row>
    <row r="8" spans="1:10" x14ac:dyDescent="0.3">
      <c r="A8" s="11" t="s">
        <v>15</v>
      </c>
      <c r="B8" s="12">
        <v>150.72</v>
      </c>
      <c r="C8" s="13">
        <v>5638</v>
      </c>
      <c r="D8" s="14">
        <v>26812</v>
      </c>
      <c r="E8" s="14">
        <v>18665</v>
      </c>
      <c r="F8" s="14">
        <v>13240</v>
      </c>
      <c r="G8" s="15">
        <f t="shared" si="0"/>
        <v>26.812000000000001</v>
      </c>
      <c r="H8" s="15">
        <f t="shared" si="1"/>
        <v>18.664999999999999</v>
      </c>
      <c r="I8" s="16">
        <f t="shared" si="2"/>
        <v>2.0250755287009063</v>
      </c>
      <c r="J8" s="17"/>
    </row>
    <row r="9" spans="1:10" x14ac:dyDescent="0.3">
      <c r="A9" s="4" t="s">
        <v>16</v>
      </c>
      <c r="B9" s="5">
        <v>131.51</v>
      </c>
      <c r="C9" s="6">
        <v>4710</v>
      </c>
      <c r="D9" s="7">
        <v>26773</v>
      </c>
      <c r="E9" s="7">
        <v>19934</v>
      </c>
      <c r="F9" s="7">
        <v>14642</v>
      </c>
      <c r="G9" s="8">
        <f t="shared" si="0"/>
        <v>26.773</v>
      </c>
      <c r="H9" s="8">
        <f t="shared" si="1"/>
        <v>19.934000000000001</v>
      </c>
      <c r="I9" s="9">
        <f t="shared" si="2"/>
        <v>1.8285070345581205</v>
      </c>
      <c r="J9" s="10"/>
    </row>
    <row r="10" spans="1:10" x14ac:dyDescent="0.3">
      <c r="A10" s="11" t="s">
        <v>17</v>
      </c>
      <c r="B10" s="12">
        <v>140.69</v>
      </c>
      <c r="C10" s="13">
        <v>4981</v>
      </c>
      <c r="D10" s="14">
        <v>26773</v>
      </c>
      <c r="E10" s="14">
        <v>20662</v>
      </c>
      <c r="F10" s="14">
        <v>14856</v>
      </c>
      <c r="G10" s="15">
        <f t="shared" si="0"/>
        <v>26.773</v>
      </c>
      <c r="H10" s="15">
        <f t="shared" si="1"/>
        <v>20.661999999999999</v>
      </c>
      <c r="I10" s="16">
        <f t="shared" si="2"/>
        <v>1.8021674744211094</v>
      </c>
      <c r="J10" s="17"/>
    </row>
    <row r="11" spans="1:10" x14ac:dyDescent="0.3">
      <c r="A11" s="4" t="s">
        <v>18</v>
      </c>
      <c r="B11" s="5">
        <v>270.48</v>
      </c>
      <c r="C11" s="6">
        <v>6729</v>
      </c>
      <c r="D11" s="7">
        <v>26462</v>
      </c>
      <c r="E11" s="7">
        <v>17588</v>
      </c>
      <c r="F11" s="7">
        <v>11611</v>
      </c>
      <c r="G11" s="8">
        <f t="shared" si="0"/>
        <v>26.462</v>
      </c>
      <c r="H11" s="8">
        <f t="shared" si="1"/>
        <v>17.588000000000001</v>
      </c>
      <c r="I11" s="9">
        <f t="shared" si="2"/>
        <v>2.2790457324950477</v>
      </c>
      <c r="J11" s="10"/>
    </row>
    <row r="12" spans="1:10" x14ac:dyDescent="0.3">
      <c r="A12" s="11" t="s">
        <v>19</v>
      </c>
      <c r="B12" s="12">
        <v>124.34</v>
      </c>
      <c r="C12" s="13">
        <v>4758</v>
      </c>
      <c r="D12" s="14">
        <v>26412</v>
      </c>
      <c r="E12" s="14">
        <v>22134</v>
      </c>
      <c r="F12" s="14">
        <v>15004</v>
      </c>
      <c r="G12" s="15">
        <f t="shared" si="0"/>
        <v>26.411999999999999</v>
      </c>
      <c r="H12" s="15">
        <f t="shared" si="1"/>
        <v>22.134</v>
      </c>
      <c r="I12" s="16">
        <f t="shared" si="2"/>
        <v>1.7603305785123966</v>
      </c>
      <c r="J12" s="17"/>
    </row>
    <row r="13" spans="1:10" x14ac:dyDescent="0.3">
      <c r="A13" s="4" t="s">
        <v>20</v>
      </c>
      <c r="B13" s="5">
        <v>169.72</v>
      </c>
      <c r="C13" s="6">
        <v>5278</v>
      </c>
      <c r="D13" s="7">
        <v>26279</v>
      </c>
      <c r="E13" s="7">
        <v>17745</v>
      </c>
      <c r="F13" s="7">
        <v>13180</v>
      </c>
      <c r="G13" s="8">
        <f t="shared" si="0"/>
        <v>26.279</v>
      </c>
      <c r="H13" s="8">
        <f t="shared" si="1"/>
        <v>17.745000000000001</v>
      </c>
      <c r="I13" s="9">
        <f t="shared" si="2"/>
        <v>1.9938543247344462</v>
      </c>
      <c r="J13" s="10"/>
    </row>
    <row r="14" spans="1:10" x14ac:dyDescent="0.3">
      <c r="A14" s="11" t="s">
        <v>21</v>
      </c>
      <c r="B14" s="12">
        <v>71.5</v>
      </c>
      <c r="C14" s="13">
        <v>4054</v>
      </c>
      <c r="D14" s="14">
        <v>25595</v>
      </c>
      <c r="E14" s="14">
        <v>21824</v>
      </c>
      <c r="F14" s="14">
        <v>14361</v>
      </c>
      <c r="G14" s="15">
        <f t="shared" si="0"/>
        <v>25.594999999999999</v>
      </c>
      <c r="H14" s="15">
        <f t="shared" si="1"/>
        <v>21.824000000000002</v>
      </c>
      <c r="I14" s="16">
        <f t="shared" si="2"/>
        <v>1.7822575029594039</v>
      </c>
      <c r="J14" s="17"/>
    </row>
    <row r="15" spans="1:10" x14ac:dyDescent="0.3">
      <c r="A15" s="4" t="s">
        <v>22</v>
      </c>
      <c r="B15" s="5">
        <v>175.27</v>
      </c>
      <c r="C15" s="6">
        <v>5486</v>
      </c>
      <c r="D15" s="7">
        <v>25591</v>
      </c>
      <c r="E15" s="7">
        <v>21184</v>
      </c>
      <c r="F15" s="7">
        <v>13634</v>
      </c>
      <c r="G15" s="8">
        <f t="shared" si="0"/>
        <v>25.591000000000001</v>
      </c>
      <c r="H15" s="8">
        <f t="shared" si="1"/>
        <v>21.184000000000001</v>
      </c>
      <c r="I15" s="9">
        <f t="shared" si="2"/>
        <v>1.8769986797711604</v>
      </c>
      <c r="J15" s="10"/>
    </row>
    <row r="16" spans="1:10" x14ac:dyDescent="0.3">
      <c r="A16" s="11" t="s">
        <v>23</v>
      </c>
      <c r="B16" s="12">
        <v>140.75</v>
      </c>
      <c r="C16" s="13">
        <v>5173</v>
      </c>
      <c r="D16" s="14">
        <v>25360</v>
      </c>
      <c r="E16" s="14">
        <v>21227</v>
      </c>
      <c r="F16" s="14">
        <v>15747</v>
      </c>
      <c r="G16" s="15">
        <f t="shared" si="0"/>
        <v>25.36</v>
      </c>
      <c r="H16" s="15">
        <f t="shared" si="1"/>
        <v>21.227</v>
      </c>
      <c r="I16" s="16">
        <f t="shared" si="2"/>
        <v>1.6104654854892995</v>
      </c>
      <c r="J16" s="17"/>
    </row>
    <row r="17" spans="1:10" x14ac:dyDescent="0.3">
      <c r="A17" s="4" t="s">
        <v>24</v>
      </c>
      <c r="B17" s="5">
        <v>300.64</v>
      </c>
      <c r="C17" s="6">
        <v>7008</v>
      </c>
      <c r="D17" s="7">
        <v>25352</v>
      </c>
      <c r="E17" s="7">
        <v>17123</v>
      </c>
      <c r="F17" s="7">
        <v>10680</v>
      </c>
      <c r="G17" s="8">
        <f t="shared" si="0"/>
        <v>25.352</v>
      </c>
      <c r="H17" s="8">
        <f t="shared" si="1"/>
        <v>17.123000000000001</v>
      </c>
      <c r="I17" s="9">
        <f t="shared" si="2"/>
        <v>2.3737827715355806</v>
      </c>
      <c r="J17" s="10"/>
    </row>
    <row r="18" spans="1:10" x14ac:dyDescent="0.3">
      <c r="A18" s="11" t="s">
        <v>25</v>
      </c>
      <c r="B18" s="12">
        <v>254.67</v>
      </c>
      <c r="C18" s="13">
        <v>6809</v>
      </c>
      <c r="D18" s="14">
        <v>24947</v>
      </c>
      <c r="E18" s="14">
        <v>17997</v>
      </c>
      <c r="F18" s="14">
        <v>12367</v>
      </c>
      <c r="G18" s="15">
        <f t="shared" si="0"/>
        <v>24.946999999999999</v>
      </c>
      <c r="H18" s="15">
        <f t="shared" si="1"/>
        <v>17.997</v>
      </c>
      <c r="I18" s="16">
        <f t="shared" si="2"/>
        <v>2.0172232554378589</v>
      </c>
      <c r="J18" s="17"/>
    </row>
    <row r="19" spans="1:10" x14ac:dyDescent="0.3">
      <c r="A19" s="4" t="s">
        <v>26</v>
      </c>
      <c r="B19" s="5">
        <v>56.03</v>
      </c>
      <c r="C19" s="6">
        <v>3746</v>
      </c>
      <c r="D19" s="7">
        <v>24232</v>
      </c>
      <c r="E19" s="7">
        <v>20670</v>
      </c>
      <c r="F19" s="7">
        <v>15750</v>
      </c>
      <c r="G19" s="8">
        <f t="shared" si="0"/>
        <v>24.231999999999999</v>
      </c>
      <c r="H19" s="8">
        <f t="shared" si="1"/>
        <v>20.67</v>
      </c>
      <c r="I19" s="9">
        <f t="shared" si="2"/>
        <v>1.5385396825396824</v>
      </c>
      <c r="J19" s="10"/>
    </row>
    <row r="20" spans="1:10" x14ac:dyDescent="0.3">
      <c r="A20" s="11" t="s">
        <v>27</v>
      </c>
      <c r="B20" s="12">
        <v>136.18</v>
      </c>
      <c r="C20" s="13">
        <v>4817</v>
      </c>
      <c r="D20" s="14">
        <v>24230</v>
      </c>
      <c r="E20" s="14">
        <v>19725</v>
      </c>
      <c r="F20" s="14">
        <v>14928</v>
      </c>
      <c r="G20" s="15">
        <f t="shared" si="0"/>
        <v>24.23</v>
      </c>
      <c r="H20" s="15">
        <f t="shared" si="1"/>
        <v>19.725000000000001</v>
      </c>
      <c r="I20" s="16">
        <f t="shared" si="2"/>
        <v>1.6231243301178992</v>
      </c>
      <c r="J20" s="17"/>
    </row>
    <row r="21" spans="1:10" x14ac:dyDescent="0.3">
      <c r="A21" s="4" t="s">
        <v>28</v>
      </c>
      <c r="B21" s="5">
        <v>66.459999999999994</v>
      </c>
      <c r="C21" s="6">
        <v>3913</v>
      </c>
      <c r="D21" s="7">
        <v>24060</v>
      </c>
      <c r="E21" s="7">
        <v>21083</v>
      </c>
      <c r="F21" s="7">
        <v>16110</v>
      </c>
      <c r="G21" s="8">
        <f t="shared" si="0"/>
        <v>24.06</v>
      </c>
      <c r="H21" s="8">
        <f t="shared" si="1"/>
        <v>21.082999999999998</v>
      </c>
      <c r="I21" s="9">
        <f t="shared" si="2"/>
        <v>1.4934823091247673</v>
      </c>
      <c r="J21" s="10"/>
    </row>
    <row r="22" spans="1:10" x14ac:dyDescent="0.3">
      <c r="A22" s="11" t="s">
        <v>29</v>
      </c>
      <c r="B22" s="12">
        <v>83.32</v>
      </c>
      <c r="C22" s="13">
        <v>3691</v>
      </c>
      <c r="D22" s="14">
        <v>23666</v>
      </c>
      <c r="E22" s="14">
        <v>21153</v>
      </c>
      <c r="F22" s="14">
        <v>15125</v>
      </c>
      <c r="G22" s="15">
        <f t="shared" si="0"/>
        <v>23.666</v>
      </c>
      <c r="H22" s="15">
        <f t="shared" si="1"/>
        <v>21.152999999999999</v>
      </c>
      <c r="I22" s="16">
        <f t="shared" si="2"/>
        <v>1.564694214876033</v>
      </c>
      <c r="J22" s="17"/>
    </row>
    <row r="23" spans="1:10" x14ac:dyDescent="0.3">
      <c r="A23" s="4" t="s">
        <v>30</v>
      </c>
      <c r="B23" s="5">
        <v>144.9</v>
      </c>
      <c r="C23" s="6">
        <v>4944</v>
      </c>
      <c r="D23" s="7">
        <v>23635</v>
      </c>
      <c r="E23" s="7">
        <v>20665</v>
      </c>
      <c r="F23" s="7">
        <v>15014</v>
      </c>
      <c r="G23" s="8">
        <f t="shared" si="0"/>
        <v>23.635000000000002</v>
      </c>
      <c r="H23" s="8">
        <f t="shared" si="1"/>
        <v>20.664999999999999</v>
      </c>
      <c r="I23" s="9">
        <f t="shared" si="2"/>
        <v>1.5741974157453045</v>
      </c>
      <c r="J23" s="10"/>
    </row>
    <row r="24" spans="1:10" x14ac:dyDescent="0.3">
      <c r="A24" s="11" t="s">
        <v>31</v>
      </c>
      <c r="B24" s="12">
        <v>302.63</v>
      </c>
      <c r="C24" s="13">
        <v>7372</v>
      </c>
      <c r="D24" s="14">
        <v>23345</v>
      </c>
      <c r="E24" s="14">
        <v>19126</v>
      </c>
      <c r="F24" s="14">
        <v>11657</v>
      </c>
      <c r="G24" s="15">
        <f t="shared" si="0"/>
        <v>23.344999999999999</v>
      </c>
      <c r="H24" s="15">
        <f t="shared" si="1"/>
        <v>19.126000000000001</v>
      </c>
      <c r="I24" s="16">
        <f t="shared" si="2"/>
        <v>2.0026593463155185</v>
      </c>
      <c r="J24" s="17"/>
    </row>
    <row r="25" spans="1:10" x14ac:dyDescent="0.3">
      <c r="A25" s="4" t="s">
        <v>32</v>
      </c>
      <c r="B25" s="5">
        <v>80.430000000000007</v>
      </c>
      <c r="C25" s="6">
        <v>4103</v>
      </c>
      <c r="D25" s="7">
        <v>22996</v>
      </c>
      <c r="E25" s="7">
        <v>18851</v>
      </c>
      <c r="F25" s="7">
        <v>14168</v>
      </c>
      <c r="G25" s="8">
        <f t="shared" si="0"/>
        <v>22.995999999999999</v>
      </c>
      <c r="H25" s="8">
        <f t="shared" si="1"/>
        <v>18.850999999999999</v>
      </c>
      <c r="I25" s="9">
        <f t="shared" si="2"/>
        <v>1.6230942970073405</v>
      </c>
      <c r="J25" s="10"/>
    </row>
    <row r="26" spans="1:10" x14ac:dyDescent="0.3">
      <c r="A26" s="11" t="s">
        <v>33</v>
      </c>
      <c r="B26" s="12">
        <v>278.49</v>
      </c>
      <c r="C26" s="13">
        <v>7339</v>
      </c>
      <c r="D26" s="14">
        <v>22877</v>
      </c>
      <c r="E26" s="14">
        <v>17123</v>
      </c>
      <c r="F26" s="14">
        <v>9892</v>
      </c>
      <c r="G26" s="15">
        <f t="shared" si="0"/>
        <v>22.876999999999999</v>
      </c>
      <c r="H26" s="15">
        <f t="shared" si="1"/>
        <v>17.123000000000001</v>
      </c>
      <c r="I26" s="16">
        <f t="shared" si="2"/>
        <v>2.3126769106348566</v>
      </c>
      <c r="J26" s="17"/>
    </row>
    <row r="27" spans="1:10" x14ac:dyDescent="0.3">
      <c r="A27" s="4" t="s">
        <v>34</v>
      </c>
      <c r="B27" s="5">
        <v>132.93</v>
      </c>
      <c r="C27" s="6">
        <v>4758</v>
      </c>
      <c r="D27" s="7">
        <v>22815</v>
      </c>
      <c r="E27" s="7">
        <v>19706</v>
      </c>
      <c r="F27" s="7">
        <v>14217</v>
      </c>
      <c r="G27" s="8">
        <f t="shared" si="0"/>
        <v>22.815000000000001</v>
      </c>
      <c r="H27" s="8">
        <f t="shared" si="1"/>
        <v>19.706</v>
      </c>
      <c r="I27" s="9">
        <f t="shared" si="2"/>
        <v>1.6047689385946402</v>
      </c>
      <c r="J27" s="10"/>
    </row>
    <row r="28" spans="1:10" x14ac:dyDescent="0.3">
      <c r="A28" s="11" t="s">
        <v>35</v>
      </c>
      <c r="B28" s="12">
        <v>239.17</v>
      </c>
      <c r="C28" s="13">
        <v>6359</v>
      </c>
      <c r="D28" s="14">
        <v>22282</v>
      </c>
      <c r="E28" s="14">
        <v>18654</v>
      </c>
      <c r="F28" s="14">
        <v>15489</v>
      </c>
      <c r="G28" s="15">
        <f t="shared" si="0"/>
        <v>22.282</v>
      </c>
      <c r="H28" s="15">
        <f t="shared" si="1"/>
        <v>18.654</v>
      </c>
      <c r="I28" s="16">
        <f t="shared" si="2"/>
        <v>1.4385693072503067</v>
      </c>
      <c r="J28" s="17"/>
    </row>
    <row r="29" spans="1:10" x14ac:dyDescent="0.3">
      <c r="A29" s="4" t="s">
        <v>36</v>
      </c>
      <c r="B29" s="5">
        <v>58.7</v>
      </c>
      <c r="C29" s="6">
        <v>4507</v>
      </c>
      <c r="D29" s="7">
        <v>21718</v>
      </c>
      <c r="E29" s="7">
        <v>15036</v>
      </c>
      <c r="F29" s="7">
        <v>11674</v>
      </c>
      <c r="G29" s="8">
        <f t="shared" si="0"/>
        <v>21.718</v>
      </c>
      <c r="H29" s="8">
        <f t="shared" si="1"/>
        <v>15.036</v>
      </c>
      <c r="I29" s="9">
        <f t="shared" si="2"/>
        <v>1.8603734795271543</v>
      </c>
      <c r="J29" s="10"/>
    </row>
    <row r="30" spans="1:10" x14ac:dyDescent="0.3">
      <c r="A30" s="11" t="s">
        <v>37</v>
      </c>
      <c r="B30" s="12">
        <v>131.93</v>
      </c>
      <c r="C30" s="13">
        <v>5328</v>
      </c>
      <c r="D30" s="14">
        <v>21718</v>
      </c>
      <c r="E30" s="14">
        <v>14356</v>
      </c>
      <c r="F30" s="14">
        <v>11332</v>
      </c>
      <c r="G30" s="15">
        <f t="shared" si="0"/>
        <v>21.718</v>
      </c>
      <c r="H30" s="15">
        <f t="shared" si="1"/>
        <v>14.356</v>
      </c>
      <c r="I30" s="16">
        <f t="shared" si="2"/>
        <v>1.9165195905400636</v>
      </c>
      <c r="J30" s="17"/>
    </row>
    <row r="31" spans="1:10" x14ac:dyDescent="0.3">
      <c r="A31" s="4" t="s">
        <v>38</v>
      </c>
      <c r="B31" s="5">
        <v>53.96</v>
      </c>
      <c r="C31" s="6">
        <v>3674</v>
      </c>
      <c r="D31" s="7">
        <v>21211</v>
      </c>
      <c r="E31" s="7">
        <v>19360</v>
      </c>
      <c r="F31" s="7">
        <v>13875</v>
      </c>
      <c r="G31" s="8">
        <f t="shared" si="0"/>
        <v>21.210999999999999</v>
      </c>
      <c r="H31" s="8">
        <f t="shared" si="1"/>
        <v>19.36</v>
      </c>
      <c r="I31" s="9">
        <f t="shared" si="2"/>
        <v>1.5287207207207207</v>
      </c>
      <c r="J31" s="10"/>
    </row>
    <row r="32" spans="1:10" x14ac:dyDescent="0.3">
      <c r="A32" s="11" t="s">
        <v>39</v>
      </c>
      <c r="B32" s="12">
        <v>300.31</v>
      </c>
      <c r="C32" s="13">
        <v>7000</v>
      </c>
      <c r="D32" s="14">
        <v>21210</v>
      </c>
      <c r="E32" s="14">
        <v>15130</v>
      </c>
      <c r="F32" s="14">
        <v>9125</v>
      </c>
      <c r="G32" s="15">
        <f t="shared" si="0"/>
        <v>21.21</v>
      </c>
      <c r="H32" s="15">
        <f t="shared" si="1"/>
        <v>15.13</v>
      </c>
      <c r="I32" s="16">
        <f t="shared" si="2"/>
        <v>2.3243835616438355</v>
      </c>
      <c r="J32" s="17"/>
    </row>
    <row r="33" spans="1:10" x14ac:dyDescent="0.3">
      <c r="A33" s="4" t="s">
        <v>40</v>
      </c>
      <c r="B33" s="5">
        <v>196.28</v>
      </c>
      <c r="C33" s="6">
        <v>6359</v>
      </c>
      <c r="D33" s="7">
        <v>21210</v>
      </c>
      <c r="E33" s="7">
        <v>15375</v>
      </c>
      <c r="F33" s="7">
        <v>10196</v>
      </c>
      <c r="G33" s="8">
        <f t="shared" si="0"/>
        <v>21.21</v>
      </c>
      <c r="H33" s="8">
        <f t="shared" si="1"/>
        <v>15.375</v>
      </c>
      <c r="I33" s="9">
        <f t="shared" si="2"/>
        <v>2.080227540211848</v>
      </c>
      <c r="J33" s="10"/>
    </row>
    <row r="34" spans="1:10" x14ac:dyDescent="0.3">
      <c r="A34" s="11" t="s">
        <v>41</v>
      </c>
      <c r="B34" s="12">
        <v>201.87</v>
      </c>
      <c r="C34" s="13">
        <v>6413</v>
      </c>
      <c r="D34" s="14">
        <v>21142</v>
      </c>
      <c r="E34" s="14">
        <v>15352</v>
      </c>
      <c r="F34" s="14">
        <v>11986</v>
      </c>
      <c r="G34" s="15">
        <f t="shared" si="0"/>
        <v>21.141999999999999</v>
      </c>
      <c r="H34" s="15">
        <f t="shared" si="1"/>
        <v>15.352</v>
      </c>
      <c r="I34" s="16">
        <f t="shared" si="2"/>
        <v>1.7638912064074754</v>
      </c>
      <c r="J34" s="17"/>
    </row>
    <row r="35" spans="1:10" x14ac:dyDescent="0.3">
      <c r="A35" s="4" t="s">
        <v>42</v>
      </c>
      <c r="B35" s="5">
        <v>177.61</v>
      </c>
      <c r="C35" s="6">
        <v>5367</v>
      </c>
      <c r="D35" s="7">
        <v>20793</v>
      </c>
      <c r="E35" s="7">
        <v>12433</v>
      </c>
      <c r="F35" s="7">
        <v>8285</v>
      </c>
      <c r="G35" s="8">
        <f t="shared" si="0"/>
        <v>20.792999999999999</v>
      </c>
      <c r="H35" s="8">
        <f t="shared" si="1"/>
        <v>12.433</v>
      </c>
      <c r="I35" s="9">
        <f t="shared" si="2"/>
        <v>2.5097163548581776</v>
      </c>
      <c r="J35" s="10"/>
    </row>
    <row r="36" spans="1:10" x14ac:dyDescent="0.3">
      <c r="A36" s="11" t="s">
        <v>43</v>
      </c>
      <c r="B36" s="12">
        <v>174.68</v>
      </c>
      <c r="C36" s="13">
        <v>5276</v>
      </c>
      <c r="D36" s="14">
        <v>20793</v>
      </c>
      <c r="E36" s="14">
        <v>12433</v>
      </c>
      <c r="F36" s="14">
        <v>9459</v>
      </c>
      <c r="G36" s="15">
        <f t="shared" si="0"/>
        <v>20.792999999999999</v>
      </c>
      <c r="H36" s="15">
        <f t="shared" si="1"/>
        <v>12.433</v>
      </c>
      <c r="I36" s="16">
        <f t="shared" si="2"/>
        <v>2.1982239137329529</v>
      </c>
      <c r="J36" s="17"/>
    </row>
    <row r="37" spans="1:10" x14ac:dyDescent="0.3">
      <c r="A37" s="4" t="s">
        <v>44</v>
      </c>
      <c r="B37" s="5">
        <v>299.8</v>
      </c>
      <c r="C37" s="6">
        <v>7001</v>
      </c>
      <c r="D37" s="7">
        <v>20509</v>
      </c>
      <c r="E37" s="7">
        <v>15130</v>
      </c>
      <c r="F37" s="7">
        <v>8178</v>
      </c>
      <c r="G37" s="8">
        <f t="shared" ref="G37:G55" si="3">D37/1000</f>
        <v>20.509</v>
      </c>
      <c r="H37" s="8">
        <f t="shared" ref="H37:H55" si="4">E37/1000</f>
        <v>15.13</v>
      </c>
      <c r="I37" s="9">
        <f t="shared" ref="I37:I55" si="5">IFERROR(D37/F37,"")</f>
        <v>2.507825874296894</v>
      </c>
      <c r="J37" s="10"/>
    </row>
    <row r="38" spans="1:10" x14ac:dyDescent="0.3">
      <c r="A38" s="11" t="s">
        <v>45</v>
      </c>
      <c r="B38" s="12">
        <v>43.67</v>
      </c>
      <c r="C38" s="13">
        <v>3710</v>
      </c>
      <c r="D38" s="14">
        <v>19797</v>
      </c>
      <c r="E38" s="14">
        <v>17257</v>
      </c>
      <c r="F38" s="14">
        <v>14089</v>
      </c>
      <c r="G38" s="15">
        <f t="shared" si="3"/>
        <v>19.797000000000001</v>
      </c>
      <c r="H38" s="15">
        <f t="shared" si="4"/>
        <v>17.257000000000001</v>
      </c>
      <c r="I38" s="16">
        <f t="shared" si="5"/>
        <v>1.4051387607353254</v>
      </c>
      <c r="J38" s="17"/>
    </row>
    <row r="39" spans="1:10" x14ac:dyDescent="0.3">
      <c r="A39" s="4" t="s">
        <v>46</v>
      </c>
      <c r="B39" s="5">
        <v>302.68</v>
      </c>
      <c r="C39" s="6">
        <v>6953</v>
      </c>
      <c r="D39" s="7">
        <v>18749</v>
      </c>
      <c r="E39" s="7">
        <v>13521</v>
      </c>
      <c r="F39" s="7">
        <v>6693</v>
      </c>
      <c r="G39" s="8">
        <f t="shared" si="3"/>
        <v>18.748999999999999</v>
      </c>
      <c r="H39" s="8">
        <f t="shared" si="4"/>
        <v>13.521000000000001</v>
      </c>
      <c r="I39" s="9">
        <f t="shared" si="5"/>
        <v>2.8012849245480353</v>
      </c>
      <c r="J39" s="10"/>
    </row>
    <row r="40" spans="1:10" x14ac:dyDescent="0.3">
      <c r="A40" s="11" t="s">
        <v>47</v>
      </c>
      <c r="B40" s="12">
        <v>140.68</v>
      </c>
      <c r="C40" s="13">
        <v>4965</v>
      </c>
      <c r="D40" s="14">
        <v>17235</v>
      </c>
      <c r="E40" s="14">
        <v>13927</v>
      </c>
      <c r="F40" s="14">
        <v>10711</v>
      </c>
      <c r="G40" s="15">
        <f t="shared" si="3"/>
        <v>17.234999999999999</v>
      </c>
      <c r="H40" s="15">
        <f t="shared" si="4"/>
        <v>13.927</v>
      </c>
      <c r="I40" s="16">
        <f t="shared" si="5"/>
        <v>1.6090934553263001</v>
      </c>
      <c r="J40" s="17"/>
    </row>
    <row r="41" spans="1:10" x14ac:dyDescent="0.3">
      <c r="A41" s="4" t="s">
        <v>48</v>
      </c>
      <c r="B41" s="5">
        <v>60.51</v>
      </c>
      <c r="C41" s="6">
        <v>3703</v>
      </c>
      <c r="D41" s="7">
        <v>16256</v>
      </c>
      <c r="E41" s="7">
        <v>13518</v>
      </c>
      <c r="F41" s="7">
        <v>6700</v>
      </c>
      <c r="G41" s="8">
        <f t="shared" si="3"/>
        <v>16.256</v>
      </c>
      <c r="H41" s="8">
        <f t="shared" si="4"/>
        <v>13.518000000000001</v>
      </c>
      <c r="I41" s="9">
        <f t="shared" si="5"/>
        <v>2.426268656716418</v>
      </c>
      <c r="J41" s="10"/>
    </row>
    <row r="42" spans="1:10" x14ac:dyDescent="0.3">
      <c r="A42" s="11" t="s">
        <v>49</v>
      </c>
      <c r="B42" s="12">
        <v>65</v>
      </c>
      <c r="C42" s="13">
        <v>3845</v>
      </c>
      <c r="D42" s="14">
        <v>15979</v>
      </c>
      <c r="E42" s="14">
        <v>13548</v>
      </c>
      <c r="F42" s="14">
        <v>6902</v>
      </c>
      <c r="G42" s="15">
        <f t="shared" si="3"/>
        <v>15.978999999999999</v>
      </c>
      <c r="H42" s="15">
        <f t="shared" si="4"/>
        <v>13.548</v>
      </c>
      <c r="I42" s="16">
        <f t="shared" si="5"/>
        <v>2.3151260504201683</v>
      </c>
      <c r="J42" s="17"/>
    </row>
    <row r="43" spans="1:10" x14ac:dyDescent="0.3">
      <c r="A43" s="4" t="s">
        <v>50</v>
      </c>
      <c r="B43" s="5">
        <v>60.19</v>
      </c>
      <c r="C43" s="6">
        <v>3809</v>
      </c>
      <c r="D43" s="7">
        <v>15979</v>
      </c>
      <c r="E43" s="7">
        <v>13519</v>
      </c>
      <c r="F43" s="7">
        <v>10313</v>
      </c>
      <c r="G43" s="8">
        <f t="shared" si="3"/>
        <v>15.978999999999999</v>
      </c>
      <c r="H43" s="8">
        <f t="shared" si="4"/>
        <v>13.519</v>
      </c>
      <c r="I43" s="9">
        <f t="shared" si="5"/>
        <v>1.549403665276835</v>
      </c>
      <c r="J43" s="10"/>
    </row>
    <row r="44" spans="1:10" x14ac:dyDescent="0.3">
      <c r="A44" s="11" t="s">
        <v>51</v>
      </c>
      <c r="B44" s="12">
        <v>124</v>
      </c>
      <c r="C44" s="13">
        <v>4814</v>
      </c>
      <c r="D44" s="14">
        <v>15979</v>
      </c>
      <c r="E44" s="14">
        <v>12792</v>
      </c>
      <c r="F44" s="14">
        <v>9977</v>
      </c>
      <c r="G44" s="15">
        <f t="shared" si="3"/>
        <v>15.978999999999999</v>
      </c>
      <c r="H44" s="15">
        <f t="shared" si="4"/>
        <v>12.792</v>
      </c>
      <c r="I44" s="16">
        <f t="shared" si="5"/>
        <v>1.6015836423774681</v>
      </c>
      <c r="J44" s="17"/>
    </row>
    <row r="45" spans="1:10" x14ac:dyDescent="0.3">
      <c r="A45" s="4" t="s">
        <v>52</v>
      </c>
      <c r="B45" s="5">
        <v>58.94</v>
      </c>
      <c r="C45" s="6">
        <v>3772</v>
      </c>
      <c r="D45" s="7">
        <v>15950</v>
      </c>
      <c r="E45" s="7">
        <v>13527</v>
      </c>
      <c r="F45" s="7">
        <v>10512</v>
      </c>
      <c r="G45" s="8">
        <f t="shared" si="3"/>
        <v>15.95</v>
      </c>
      <c r="H45" s="8">
        <f t="shared" si="4"/>
        <v>13.526999999999999</v>
      </c>
      <c r="I45" s="9">
        <f t="shared" si="5"/>
        <v>1.5173135464231355</v>
      </c>
      <c r="J45" s="10"/>
    </row>
    <row r="46" spans="1:10" x14ac:dyDescent="0.3">
      <c r="A46" s="11" t="s">
        <v>53</v>
      </c>
      <c r="B46" s="12">
        <v>59.79</v>
      </c>
      <c r="C46" s="13">
        <v>3770</v>
      </c>
      <c r="D46" s="14">
        <v>15411</v>
      </c>
      <c r="E46" s="14">
        <v>11634</v>
      </c>
      <c r="F46" s="14">
        <v>9014</v>
      </c>
      <c r="G46" s="15">
        <f t="shared" si="3"/>
        <v>15.411</v>
      </c>
      <c r="H46" s="15">
        <f t="shared" si="4"/>
        <v>11.634</v>
      </c>
      <c r="I46" s="16">
        <f t="shared" si="5"/>
        <v>1.7096738406922565</v>
      </c>
      <c r="J46" s="17"/>
    </row>
    <row r="47" spans="1:10" x14ac:dyDescent="0.3">
      <c r="A47" s="4" t="s">
        <v>54</v>
      </c>
      <c r="B47" s="5">
        <v>113.78</v>
      </c>
      <c r="C47" s="6">
        <v>4554</v>
      </c>
      <c r="D47" s="7">
        <v>15273</v>
      </c>
      <c r="E47" s="7">
        <v>11123</v>
      </c>
      <c r="F47" s="7">
        <v>8753</v>
      </c>
      <c r="G47" s="8">
        <f t="shared" si="3"/>
        <v>15.273</v>
      </c>
      <c r="H47" s="8">
        <f t="shared" si="4"/>
        <v>11.122999999999999</v>
      </c>
      <c r="I47" s="9">
        <f t="shared" si="5"/>
        <v>1.7448874671541186</v>
      </c>
      <c r="J47" s="10"/>
    </row>
    <row r="48" spans="1:10" x14ac:dyDescent="0.3">
      <c r="A48" s="11" t="s">
        <v>55</v>
      </c>
      <c r="B48" s="12">
        <v>60.87</v>
      </c>
      <c r="C48" s="13">
        <v>3801</v>
      </c>
      <c r="D48" s="14">
        <v>14667</v>
      </c>
      <c r="E48" s="14">
        <v>12020</v>
      </c>
      <c r="F48" s="14">
        <v>8017</v>
      </c>
      <c r="G48" s="15">
        <f t="shared" si="3"/>
        <v>14.667</v>
      </c>
      <c r="H48" s="15">
        <f t="shared" si="4"/>
        <v>12.02</v>
      </c>
      <c r="I48" s="16">
        <f t="shared" si="5"/>
        <v>1.829487339403767</v>
      </c>
      <c r="J48" s="17"/>
    </row>
    <row r="49" spans="1:10" x14ac:dyDescent="0.3">
      <c r="A49" s="4" t="s">
        <v>56</v>
      </c>
      <c r="B49" s="5">
        <v>59.61</v>
      </c>
      <c r="C49" s="6">
        <v>3784</v>
      </c>
      <c r="D49" s="7">
        <v>14656</v>
      </c>
      <c r="E49" s="7">
        <v>12023</v>
      </c>
      <c r="F49" s="7">
        <v>9228</v>
      </c>
      <c r="G49" s="8">
        <f t="shared" si="3"/>
        <v>14.656000000000001</v>
      </c>
      <c r="H49" s="8">
        <f t="shared" si="4"/>
        <v>12.023</v>
      </c>
      <c r="I49" s="9">
        <f t="shared" si="5"/>
        <v>1.588209796272215</v>
      </c>
      <c r="J49" s="10"/>
    </row>
    <row r="50" spans="1:10" x14ac:dyDescent="0.3">
      <c r="A50" s="11" t="s">
        <v>57</v>
      </c>
      <c r="B50" s="12">
        <v>80.13</v>
      </c>
      <c r="C50" s="13">
        <v>4466</v>
      </c>
      <c r="D50" s="14">
        <v>14524</v>
      </c>
      <c r="E50" s="14">
        <v>11107</v>
      </c>
      <c r="F50" s="14">
        <v>7792</v>
      </c>
      <c r="G50" s="15">
        <f t="shared" si="3"/>
        <v>14.523999999999999</v>
      </c>
      <c r="H50" s="15">
        <f t="shared" si="4"/>
        <v>11.106999999999999</v>
      </c>
      <c r="I50" s="16">
        <f t="shared" si="5"/>
        <v>1.8639630390143738</v>
      </c>
      <c r="J50" s="17"/>
    </row>
    <row r="51" spans="1:10" x14ac:dyDescent="0.3">
      <c r="A51" s="4" t="s">
        <v>58</v>
      </c>
      <c r="B51" s="5">
        <v>18.11</v>
      </c>
      <c r="C51" s="6">
        <v>1911</v>
      </c>
      <c r="D51" s="7">
        <v>11633</v>
      </c>
      <c r="E51" s="7">
        <v>9580</v>
      </c>
      <c r="F51" s="7">
        <v>8310</v>
      </c>
      <c r="G51" s="8">
        <f t="shared" si="3"/>
        <v>11.632999999999999</v>
      </c>
      <c r="H51" s="8">
        <f t="shared" si="4"/>
        <v>9.58</v>
      </c>
      <c r="I51" s="9">
        <f t="shared" si="5"/>
        <v>1.3998796630565584</v>
      </c>
      <c r="J51" s="10"/>
    </row>
    <row r="52" spans="1:10" x14ac:dyDescent="0.3">
      <c r="A52" s="11" t="s">
        <v>59</v>
      </c>
      <c r="B52" s="12">
        <v>70.98</v>
      </c>
      <c r="C52" s="13">
        <v>3651</v>
      </c>
      <c r="D52" s="14">
        <v>11453</v>
      </c>
      <c r="E52" s="14">
        <v>9730</v>
      </c>
      <c r="F52" s="14">
        <v>7484</v>
      </c>
      <c r="G52" s="15">
        <f t="shared" si="3"/>
        <v>11.452999999999999</v>
      </c>
      <c r="H52" s="15">
        <f t="shared" si="4"/>
        <v>9.73</v>
      </c>
      <c r="I52" s="16">
        <f t="shared" si="5"/>
        <v>1.530331373597007</v>
      </c>
      <c r="J52" s="17"/>
    </row>
    <row r="53" spans="1:10" x14ac:dyDescent="0.3">
      <c r="A53" s="4" t="s">
        <v>60</v>
      </c>
      <c r="B53" s="5">
        <v>19.78</v>
      </c>
      <c r="C53" s="6">
        <v>2018</v>
      </c>
      <c r="D53" s="7">
        <v>11036</v>
      </c>
      <c r="E53" s="7">
        <v>9686</v>
      </c>
      <c r="F53" s="7">
        <v>8848</v>
      </c>
      <c r="G53" s="8">
        <f t="shared" si="3"/>
        <v>11.036</v>
      </c>
      <c r="H53" s="8">
        <f t="shared" si="4"/>
        <v>9.6859999999999999</v>
      </c>
      <c r="I53" s="9">
        <f t="shared" si="5"/>
        <v>1.2472875226039783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10603</v>
      </c>
      <c r="E54" s="14">
        <v>8697</v>
      </c>
      <c r="F54" s="14">
        <v>6820</v>
      </c>
      <c r="G54" s="15">
        <f t="shared" si="3"/>
        <v>10.603</v>
      </c>
      <c r="H54" s="15">
        <f t="shared" si="4"/>
        <v>8.6969999999999992</v>
      </c>
      <c r="I54" s="16">
        <f t="shared" si="5"/>
        <v>1.5546920821114369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9546</v>
      </c>
      <c r="E55" s="7">
        <v>7441</v>
      </c>
      <c r="F55" s="7">
        <v>6142</v>
      </c>
      <c r="G55" s="8">
        <f t="shared" si="3"/>
        <v>9.5459999999999994</v>
      </c>
      <c r="H55" s="8">
        <f t="shared" si="4"/>
        <v>7.4409999999999998</v>
      </c>
      <c r="I55" s="9">
        <f t="shared" si="5"/>
        <v>1.5542168674698795</v>
      </c>
      <c r="J55" s="10"/>
    </row>
    <row r="57" spans="1:10" x14ac:dyDescent="0.3">
      <c r="A57" s="18" t="s">
        <v>63</v>
      </c>
      <c r="B57" s="19">
        <f>SUM(B5:B55)</f>
        <v>6880.8099999999995</v>
      </c>
      <c r="D57" s="20">
        <f>MAX(D5:D55)</f>
        <v>27126</v>
      </c>
      <c r="G57" s="21">
        <f>IFERROR(MAX(G5:G55),"")</f>
        <v>27.126000000000001</v>
      </c>
      <c r="I57" s="22">
        <f>IFERROR(AVERAGE(I5:I55),"")</f>
        <v>1.8302101287803956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2026-09-15T19:18:06Z</dcterms:created>
  <dcterms:modified xsi:type="dcterms:W3CDTF">2026-09-15T19:18:58Z</dcterms:modified>
</cp:coreProperties>
</file>