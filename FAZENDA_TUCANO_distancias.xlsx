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istâncias" sheetId="1" state="visible" r:id="rId1"/>
    <sheet xmlns:r="http://schemas.openxmlformats.org/officeDocument/2006/relationships" name="Premissa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808080"/>
      <sz val="10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i val="1"/>
      <color rgb="00808080"/>
      <sz val="9"/>
    </font>
    <font>
      <name val="Arial"/>
      <b val="1"/>
      <sz val="13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3" fontId="5" fillId="0" borderId="1" pivotButton="0" quotePrefix="0" xfId="0"/>
    <xf numFmtId="3" fontId="6" fillId="0" borderId="1" pivotButton="0" quotePrefix="0" xfId="0"/>
    <xf numFmtId="4" fontId="5" fillId="0" borderId="1" pivotButton="0" quotePrefix="0" xfId="0"/>
    <xf numFmtId="2" fontId="5" fillId="0" borderId="1" pivotButton="0" quotePrefix="0" xfId="0"/>
    <xf numFmtId="0" fontId="7" fillId="0" borderId="1" pivotButton="0" quotePrefix="0" xfId="0"/>
    <xf numFmtId="0" fontId="4" fillId="3" borderId="1" pivotButton="0" quotePrefix="0" xfId="0"/>
    <xf numFmtId="164" fontId="5" fillId="3" borderId="1" pivotButton="0" quotePrefix="0" xfId="0"/>
    <xf numFmtId="3" fontId="5" fillId="3" borderId="1" pivotButton="0" quotePrefix="0" xfId="0"/>
    <xf numFmtId="3" fontId="6" fillId="3" borderId="1" pivotButton="0" quotePrefix="0" xfId="0"/>
    <xf numFmtId="4" fontId="5" fillId="3" borderId="1" pivotButton="0" quotePrefix="0" xfId="0"/>
    <xf numFmtId="2" fontId="5" fillId="3" borderId="1" pivotButton="0" quotePrefix="0" xfId="0"/>
    <xf numFmtId="0" fontId="7" fillId="3" borderId="1" pivotButton="0" quotePrefix="0" xfId="0"/>
    <xf numFmtId="0" fontId="4" fillId="4" borderId="1" pivotButton="0" quotePrefix="0" xfId="0"/>
    <xf numFmtId="164" fontId="5" fillId="4" borderId="1" pivotButton="0" quotePrefix="0" xfId="0"/>
    <xf numFmtId="3" fontId="5" fillId="4" borderId="1" pivotButton="0" quotePrefix="0" xfId="0"/>
    <xf numFmtId="3" fontId="6" fillId="4" borderId="1" pivotButton="0" quotePrefix="0" xfId="0"/>
    <xf numFmtId="4" fontId="5" fillId="4" borderId="1" pivotButton="0" quotePrefix="0" xfId="0"/>
    <xf numFmtId="2" fontId="5" fillId="4" borderId="1" pivotButton="0" quotePrefix="0" xfId="0"/>
    <xf numFmtId="0" fontId="7" fillId="4" borderId="1" pivotButton="0" quotePrefix="0" xfId="0"/>
    <xf numFmtId="0" fontId="4" fillId="0" borderId="0" pivotButton="0" quotePrefix="0" xfId="0"/>
    <xf numFmtId="164" fontId="4" fillId="0" borderId="0" pivotButton="0" quotePrefix="0" xfId="0"/>
    <xf numFmtId="3" fontId="4" fillId="0" borderId="0" pivotButton="0" quotePrefix="0" xfId="0"/>
    <xf numFmtId="4" fontId="4" fillId="0" borderId="0" pivotButton="0" quotePrefix="0" xfId="0"/>
    <xf numFmtId="2" fontId="4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16" customWidth="1" min="4" max="4"/>
    <col width="16" customWidth="1" min="5" max="5"/>
    <col width="14" customWidth="1" min="6" max="6"/>
    <col width="12" customWidth="1" min="7" max="7"/>
    <col width="12" customWidth="1" min="8" max="8"/>
    <col width="17" customWidth="1" min="9" max="9"/>
    <col width="34" customWidth="1" min="10" max="10"/>
  </cols>
  <sheetData>
    <row r="1">
      <c r="A1" s="1" t="inlineStr">
        <is>
          <t>FAZENDA TUCANO — distância dos talhões até a sede</t>
        </is>
      </c>
    </row>
    <row r="2">
      <c r="A2" s="2" t="inlineStr">
        <is>
          <t>Percurso pelas estradas/carreadores, até o ponto mais extremo do talhão.</t>
        </is>
      </c>
    </row>
    <row r="4" ht="30" customHeight="1">
      <c r="A4" s="3" t="inlineStr">
        <is>
          <t>Talhão</t>
        </is>
      </c>
      <c r="B4" s="3" t="inlineStr">
        <is>
          <t>Área (ha)</t>
        </is>
      </c>
      <c r="C4" s="3" t="inlineStr">
        <is>
          <t>Perímetro (m)</t>
        </is>
      </c>
      <c r="D4" s="3" t="inlineStr">
        <is>
          <t>Dist. máxima (m)</t>
        </is>
      </c>
      <c r="E4" s="3" t="inlineStr">
        <is>
          <t>Dist. mínima (m)</t>
        </is>
      </c>
      <c r="F4" s="3" t="inlineStr">
        <is>
          <t>Linha reta (m)</t>
        </is>
      </c>
      <c r="G4" s="3" t="inlineStr">
        <is>
          <t>Máxima (km)</t>
        </is>
      </c>
      <c r="H4" s="3" t="inlineStr">
        <is>
          <t>Mínima (km)</t>
        </is>
      </c>
      <c r="I4" s="3" t="inlineStr">
        <is>
          <t>Fator estrada/reta</t>
        </is>
      </c>
      <c r="J4" s="3" t="inlineStr">
        <is>
          <t>Observação</t>
        </is>
      </c>
    </row>
    <row r="5">
      <c r="A5" s="4" t="inlineStr">
        <is>
          <t>T-39</t>
        </is>
      </c>
      <c r="B5" s="5" t="n">
        <v>96.66</v>
      </c>
      <c r="C5" s="6" t="n">
        <v>4267</v>
      </c>
      <c r="D5" s="7" t="n">
        <v>22662</v>
      </c>
      <c r="E5" s="7" t="n">
        <v>20827</v>
      </c>
      <c r="F5" s="7" t="n">
        <v>14390</v>
      </c>
      <c r="G5" s="8">
        <f>D5/1000</f>
        <v/>
      </c>
      <c r="H5" s="8">
        <f>E5/1000</f>
        <v/>
      </c>
      <c r="I5" s="9">
        <f>IFERROR(D5/F5,"")</f>
        <v/>
      </c>
      <c r="J5" s="10" t="inlineStr"/>
    </row>
    <row r="6">
      <c r="A6" s="11" t="inlineStr">
        <is>
          <t>T-40C</t>
        </is>
      </c>
      <c r="B6" s="12" t="n">
        <v>39.65</v>
      </c>
      <c r="C6" s="13" t="n">
        <v>2528</v>
      </c>
      <c r="D6" s="14" t="n">
        <v>21977</v>
      </c>
      <c r="E6" s="14" t="n">
        <v>20992</v>
      </c>
      <c r="F6" s="14" t="n">
        <v>13714</v>
      </c>
      <c r="G6" s="15">
        <f>D6/1000</f>
        <v/>
      </c>
      <c r="H6" s="15">
        <f>E6/1000</f>
        <v/>
      </c>
      <c r="I6" s="16">
        <f>IFERROR(D6/F6,"")</f>
        <v/>
      </c>
      <c r="J6" s="17" t="inlineStr"/>
    </row>
    <row r="7">
      <c r="A7" s="4" t="inlineStr">
        <is>
          <t>T-35</t>
        </is>
      </c>
      <c r="B7" s="5" t="n">
        <v>240.66</v>
      </c>
      <c r="C7" s="6" t="n">
        <v>6211</v>
      </c>
      <c r="D7" s="7" t="n">
        <v>21797</v>
      </c>
      <c r="E7" s="7" t="n">
        <v>18693</v>
      </c>
      <c r="F7" s="7" t="n">
        <v>16499</v>
      </c>
      <c r="G7" s="8">
        <f>D7/1000</f>
        <v/>
      </c>
      <c r="H7" s="8">
        <f>E7/1000</f>
        <v/>
      </c>
      <c r="I7" s="9">
        <f>IFERROR(D7/F7,"")</f>
        <v/>
      </c>
      <c r="J7" s="10" t="inlineStr"/>
    </row>
    <row r="8">
      <c r="A8" s="11" t="inlineStr">
        <is>
          <t>T-40B</t>
        </is>
      </c>
      <c r="B8" s="12" t="n">
        <v>31</v>
      </c>
      <c r="C8" s="13" t="n">
        <v>2363</v>
      </c>
      <c r="D8" s="14" t="n">
        <v>21706</v>
      </c>
      <c r="E8" s="14" t="n">
        <v>20537</v>
      </c>
      <c r="F8" s="14" t="n">
        <v>14034</v>
      </c>
      <c r="G8" s="15">
        <f>D8/1000</f>
        <v/>
      </c>
      <c r="H8" s="15">
        <f>E8/1000</f>
        <v/>
      </c>
      <c r="I8" s="16">
        <f>IFERROR(D8/F8,"")</f>
        <v/>
      </c>
      <c r="J8" s="17" t="inlineStr"/>
    </row>
    <row r="9">
      <c r="A9" s="4" t="inlineStr">
        <is>
          <t>T-40A</t>
        </is>
      </c>
      <c r="B9" s="5" t="n">
        <v>85.18000000000001</v>
      </c>
      <c r="C9" s="6" t="n">
        <v>3658</v>
      </c>
      <c r="D9" s="7" t="n">
        <v>21691</v>
      </c>
      <c r="E9" s="7" t="n">
        <v>19900</v>
      </c>
      <c r="F9" s="7" t="n">
        <v>13732</v>
      </c>
      <c r="G9" s="8">
        <f>D9/1000</f>
        <v/>
      </c>
      <c r="H9" s="8">
        <f>E9/1000</f>
        <v/>
      </c>
      <c r="I9" s="9">
        <f>IFERROR(D9/F9,"")</f>
        <v/>
      </c>
      <c r="J9" s="10" t="inlineStr"/>
    </row>
    <row r="10">
      <c r="A10" s="11" t="inlineStr">
        <is>
          <t>T-37A</t>
        </is>
      </c>
      <c r="B10" s="12" t="n">
        <v>85.98999999999999</v>
      </c>
      <c r="C10" s="13" t="n">
        <v>4182</v>
      </c>
      <c r="D10" s="14" t="n">
        <v>21354</v>
      </c>
      <c r="E10" s="14" t="n">
        <v>19425</v>
      </c>
      <c r="F10" s="14" t="n">
        <v>15781</v>
      </c>
      <c r="G10" s="15">
        <f>D10/1000</f>
        <v/>
      </c>
      <c r="H10" s="15">
        <f>E10/1000</f>
        <v/>
      </c>
      <c r="I10" s="16">
        <f>IFERROR(D10/F10,"")</f>
        <v/>
      </c>
      <c r="J10" s="17" t="inlineStr"/>
    </row>
    <row r="11">
      <c r="A11" s="4" t="inlineStr">
        <is>
          <t>T-39D</t>
        </is>
      </c>
      <c r="B11" s="5" t="n">
        <v>23.73</v>
      </c>
      <c r="C11" s="6" t="n">
        <v>2148</v>
      </c>
      <c r="D11" s="7" t="n">
        <v>21138</v>
      </c>
      <c r="E11" s="7" t="n">
        <v>20367</v>
      </c>
      <c r="F11" s="7" t="n">
        <v>14710</v>
      </c>
      <c r="G11" s="8">
        <f>D11/1000</f>
        <v/>
      </c>
      <c r="H11" s="8">
        <f>E11/1000</f>
        <v/>
      </c>
      <c r="I11" s="9">
        <f>IFERROR(D11/F11,"")</f>
        <v/>
      </c>
      <c r="J11" s="10" t="inlineStr"/>
    </row>
    <row r="12">
      <c r="A12" s="11" t="inlineStr">
        <is>
          <t>T-39A</t>
        </is>
      </c>
      <c r="B12" s="12" t="n">
        <v>34.07</v>
      </c>
      <c r="C12" s="13" t="n">
        <v>2376</v>
      </c>
      <c r="D12" s="14" t="n">
        <v>20959</v>
      </c>
      <c r="E12" s="14" t="n">
        <v>19828</v>
      </c>
      <c r="F12" s="14" t="n">
        <v>15101</v>
      </c>
      <c r="G12" s="15">
        <f>D12/1000</f>
        <v/>
      </c>
      <c r="H12" s="15">
        <f>E12/1000</f>
        <v/>
      </c>
      <c r="I12" s="16">
        <f>IFERROR(D12/F12,"")</f>
        <v/>
      </c>
      <c r="J12" s="17" t="inlineStr"/>
    </row>
    <row r="13">
      <c r="A13" s="4" t="inlineStr">
        <is>
          <t>T-41A</t>
        </is>
      </c>
      <c r="B13" s="5" t="n">
        <v>150.53</v>
      </c>
      <c r="C13" s="6" t="n">
        <v>4897</v>
      </c>
      <c r="D13" s="7" t="n">
        <v>20883</v>
      </c>
      <c r="E13" s="7" t="n">
        <v>18506</v>
      </c>
      <c r="F13" s="7" t="n">
        <v>12769</v>
      </c>
      <c r="G13" s="8">
        <f>D13/1000</f>
        <v/>
      </c>
      <c r="H13" s="8">
        <f>E13/1000</f>
        <v/>
      </c>
      <c r="I13" s="9">
        <f>IFERROR(D13/F13,"")</f>
        <v/>
      </c>
      <c r="J13" s="10" t="inlineStr"/>
    </row>
    <row r="14">
      <c r="A14" s="11" t="inlineStr">
        <is>
          <t>T-37</t>
        </is>
      </c>
      <c r="B14" s="12" t="n">
        <v>182.45</v>
      </c>
      <c r="C14" s="13" t="n">
        <v>5565</v>
      </c>
      <c r="D14" s="14" t="n">
        <v>20833</v>
      </c>
      <c r="E14" s="14" t="n">
        <v>18407</v>
      </c>
      <c r="F14" s="14" t="n">
        <v>15705</v>
      </c>
      <c r="G14" s="15">
        <f>D14/1000</f>
        <v/>
      </c>
      <c r="H14" s="15">
        <f>E14/1000</f>
        <v/>
      </c>
      <c r="I14" s="16">
        <f>IFERROR(D14/F14,"")</f>
        <v/>
      </c>
      <c r="J14" s="17" t="inlineStr"/>
    </row>
    <row r="15">
      <c r="A15" s="4" t="inlineStr">
        <is>
          <t>T-39C</t>
        </is>
      </c>
      <c r="B15" s="5" t="n">
        <v>20.03</v>
      </c>
      <c r="C15" s="6" t="n">
        <v>1858</v>
      </c>
      <c r="D15" s="7" t="n">
        <v>20697</v>
      </c>
      <c r="E15" s="7" t="n">
        <v>19930</v>
      </c>
      <c r="F15" s="7" t="n">
        <v>14553</v>
      </c>
      <c r="G15" s="8">
        <f>D15/1000</f>
        <v/>
      </c>
      <c r="H15" s="8">
        <f>E15/1000</f>
        <v/>
      </c>
      <c r="I15" s="9">
        <f>IFERROR(D15/F15,"")</f>
        <v/>
      </c>
      <c r="J15" s="10" t="inlineStr"/>
    </row>
    <row r="16">
      <c r="A16" s="11" t="inlineStr">
        <is>
          <t>T-39B</t>
        </is>
      </c>
      <c r="B16" s="12" t="n">
        <v>27.21</v>
      </c>
      <c r="C16" s="13" t="n">
        <v>2143</v>
      </c>
      <c r="D16" s="14" t="n">
        <v>20395</v>
      </c>
      <c r="E16" s="14" t="n">
        <v>19344</v>
      </c>
      <c r="F16" s="14" t="n">
        <v>14837</v>
      </c>
      <c r="G16" s="15">
        <f>D16/1000</f>
        <v/>
      </c>
      <c r="H16" s="15">
        <f>E16/1000</f>
        <v/>
      </c>
      <c r="I16" s="16">
        <f>IFERROR(D16/F16,"")</f>
        <v/>
      </c>
      <c r="J16" s="17" t="inlineStr"/>
    </row>
    <row r="17">
      <c r="A17" s="4" t="inlineStr">
        <is>
          <t>T-37B</t>
        </is>
      </c>
      <c r="B17" s="5" t="n">
        <v>108.01</v>
      </c>
      <c r="C17" s="6" t="n">
        <v>4183</v>
      </c>
      <c r="D17" s="7" t="n">
        <v>20380</v>
      </c>
      <c r="E17" s="7" t="n">
        <v>18384</v>
      </c>
      <c r="F17" s="7" t="n">
        <v>15031</v>
      </c>
      <c r="G17" s="8">
        <f>D17/1000</f>
        <v/>
      </c>
      <c r="H17" s="8">
        <f>E17/1000</f>
        <v/>
      </c>
      <c r="I17" s="9">
        <f>IFERROR(D17/F17,"")</f>
        <v/>
      </c>
      <c r="J17" s="10" t="inlineStr"/>
    </row>
    <row r="18">
      <c r="A18" s="11" t="inlineStr">
        <is>
          <t>T-41B</t>
        </is>
      </c>
      <c r="B18" s="12" t="n">
        <v>38.03</v>
      </c>
      <c r="C18" s="13" t="n">
        <v>2973</v>
      </c>
      <c r="D18" s="14" t="n">
        <v>20245</v>
      </c>
      <c r="E18" s="14" t="n">
        <v>18649</v>
      </c>
      <c r="F18" s="14" t="n">
        <v>12971</v>
      </c>
      <c r="G18" s="15">
        <f>D18/1000</f>
        <v/>
      </c>
      <c r="H18" s="15">
        <f>E18/1000</f>
        <v/>
      </c>
      <c r="I18" s="16">
        <f>IFERROR(D18/F18,"")</f>
        <v/>
      </c>
      <c r="J18" s="17" t="inlineStr"/>
    </row>
    <row r="19">
      <c r="A19" s="4" t="inlineStr">
        <is>
          <t>T-38C</t>
        </is>
      </c>
      <c r="B19" s="5" t="n">
        <v>27.75</v>
      </c>
      <c r="C19" s="6" t="n">
        <v>2368</v>
      </c>
      <c r="D19" s="7" t="n">
        <v>20206</v>
      </c>
      <c r="E19" s="7" t="n">
        <v>19209</v>
      </c>
      <c r="F19" s="7" t="n">
        <v>14263</v>
      </c>
      <c r="G19" s="8">
        <f>D19/1000</f>
        <v/>
      </c>
      <c r="H19" s="8">
        <f>E19/1000</f>
        <v/>
      </c>
      <c r="I19" s="9">
        <f>IFERROR(D19/F19,"")</f>
        <v/>
      </c>
      <c r="J19" s="10" t="inlineStr"/>
    </row>
    <row r="20">
      <c r="A20" s="11" t="inlineStr">
        <is>
          <t>T-34</t>
        </is>
      </c>
      <c r="B20" s="12" t="n">
        <v>228.96</v>
      </c>
      <c r="C20" s="13" t="n">
        <v>6152</v>
      </c>
      <c r="D20" s="14" t="n">
        <v>20094</v>
      </c>
      <c r="E20" s="14" t="n">
        <v>17026</v>
      </c>
      <c r="F20" s="14" t="n">
        <v>15117</v>
      </c>
      <c r="G20" s="15">
        <f>D20/1000</f>
        <v/>
      </c>
      <c r="H20" s="15">
        <f>E20/1000</f>
        <v/>
      </c>
      <c r="I20" s="16">
        <f>IFERROR(D20/F20,"")</f>
        <v/>
      </c>
      <c r="J20" s="17" t="inlineStr"/>
    </row>
    <row r="21">
      <c r="A21" s="4" t="inlineStr">
        <is>
          <t>T-38B</t>
        </is>
      </c>
      <c r="B21" s="5" t="n">
        <v>25.33</v>
      </c>
      <c r="C21" s="6" t="n">
        <v>2313</v>
      </c>
      <c r="D21" s="7" t="n">
        <v>19538</v>
      </c>
      <c r="E21" s="7" t="n">
        <v>18389</v>
      </c>
      <c r="F21" s="7" t="n">
        <v>14244</v>
      </c>
      <c r="G21" s="8">
        <f>D21/1000</f>
        <v/>
      </c>
      <c r="H21" s="8">
        <f>E21/1000</f>
        <v/>
      </c>
      <c r="I21" s="9">
        <f>IFERROR(D21/F21,"")</f>
        <v/>
      </c>
      <c r="J21" s="10" t="inlineStr"/>
    </row>
    <row r="22">
      <c r="A22" s="11" t="inlineStr">
        <is>
          <t>T-38A</t>
        </is>
      </c>
      <c r="B22" s="12" t="n">
        <v>52.93</v>
      </c>
      <c r="C22" s="13" t="n">
        <v>3201</v>
      </c>
      <c r="D22" s="14" t="n">
        <v>19196</v>
      </c>
      <c r="E22" s="14" t="n">
        <v>17619</v>
      </c>
      <c r="F22" s="14" t="n">
        <v>13857</v>
      </c>
      <c r="G22" s="15">
        <f>D22/1000</f>
        <v/>
      </c>
      <c r="H22" s="15">
        <f>E22/1000</f>
        <v/>
      </c>
      <c r="I22" s="16">
        <f>IFERROR(D22/F22,"")</f>
        <v/>
      </c>
      <c r="J22" s="17" t="inlineStr"/>
    </row>
    <row r="23">
      <c r="A23" s="4" t="inlineStr">
        <is>
          <t>T-36A</t>
        </is>
      </c>
      <c r="B23" s="5" t="n">
        <v>36.89</v>
      </c>
      <c r="C23" s="6" t="n">
        <v>2563</v>
      </c>
      <c r="D23" s="7" t="n">
        <v>19133</v>
      </c>
      <c r="E23" s="7" t="n">
        <v>17992</v>
      </c>
      <c r="F23" s="7" t="n">
        <v>14740</v>
      </c>
      <c r="G23" s="8">
        <f>D23/1000</f>
        <v/>
      </c>
      <c r="H23" s="8">
        <f>E23/1000</f>
        <v/>
      </c>
      <c r="I23" s="9">
        <f>IFERROR(D23/F23,"")</f>
        <v/>
      </c>
      <c r="J23" s="10" t="inlineStr"/>
    </row>
    <row r="24">
      <c r="A24" s="11" t="inlineStr">
        <is>
          <t>T-36</t>
        </is>
      </c>
      <c r="B24" s="12" t="n">
        <v>93.86</v>
      </c>
      <c r="C24" s="13" t="n">
        <v>4450</v>
      </c>
      <c r="D24" s="14" t="n">
        <v>19032</v>
      </c>
      <c r="E24" s="14" t="n">
        <v>16823</v>
      </c>
      <c r="F24" s="14" t="n">
        <v>14968</v>
      </c>
      <c r="G24" s="15">
        <f>D24/1000</f>
        <v/>
      </c>
      <c r="H24" s="15">
        <f>E24/1000</f>
        <v/>
      </c>
      <c r="I24" s="16">
        <f>IFERROR(D24/F24,"")</f>
        <v/>
      </c>
      <c r="J24" s="17" t="inlineStr"/>
    </row>
    <row r="25">
      <c r="A25" s="4" t="inlineStr">
        <is>
          <t>T-36B</t>
        </is>
      </c>
      <c r="B25" s="5" t="n">
        <v>39.71</v>
      </c>
      <c r="C25" s="6" t="n">
        <v>2648</v>
      </c>
      <c r="D25" s="7" t="n">
        <v>18678</v>
      </c>
      <c r="E25" s="7" t="n">
        <v>17592</v>
      </c>
      <c r="F25" s="7" t="n">
        <v>14442</v>
      </c>
      <c r="G25" s="8">
        <f>D25/1000</f>
        <v/>
      </c>
      <c r="H25" s="8">
        <f>E25/1000</f>
        <v/>
      </c>
      <c r="I25" s="9">
        <f>IFERROR(D25/F25,"")</f>
        <v/>
      </c>
      <c r="J25" s="10" t="inlineStr"/>
    </row>
    <row r="26">
      <c r="A26" s="11" t="inlineStr">
        <is>
          <t>T-33</t>
        </is>
      </c>
      <c r="B26" s="12" t="n">
        <v>187.06</v>
      </c>
      <c r="C26" s="13" t="n">
        <v>5526</v>
      </c>
      <c r="D26" s="14" t="n">
        <v>18644</v>
      </c>
      <c r="E26" s="14" t="n">
        <v>16352</v>
      </c>
      <c r="F26" s="14" t="n">
        <v>13729</v>
      </c>
      <c r="G26" s="15">
        <f>D26/1000</f>
        <v/>
      </c>
      <c r="H26" s="15">
        <f>E26/1000</f>
        <v/>
      </c>
      <c r="I26" s="16">
        <f>IFERROR(D26/F26,"")</f>
        <v/>
      </c>
      <c r="J26" s="17" t="inlineStr"/>
    </row>
    <row r="27">
      <c r="A27" s="4" t="inlineStr">
        <is>
          <t>T-36C</t>
        </is>
      </c>
      <c r="B27" s="5" t="n">
        <v>42.33</v>
      </c>
      <c r="C27" s="6" t="n">
        <v>3171</v>
      </c>
      <c r="D27" s="7" t="n">
        <v>18227</v>
      </c>
      <c r="E27" s="7" t="n">
        <v>16669</v>
      </c>
      <c r="F27" s="7" t="n">
        <v>14233</v>
      </c>
      <c r="G27" s="8">
        <f>D27/1000</f>
        <v/>
      </c>
      <c r="H27" s="8">
        <f>E27/1000</f>
        <v/>
      </c>
      <c r="I27" s="9">
        <f>IFERROR(D27/F27,"")</f>
        <v/>
      </c>
      <c r="J27" s="10" t="inlineStr"/>
    </row>
    <row r="28">
      <c r="A28" s="11" t="inlineStr">
        <is>
          <t>T-32</t>
        </is>
      </c>
      <c r="B28" s="12" t="n">
        <v>82.03</v>
      </c>
      <c r="C28" s="13" t="n">
        <v>3674</v>
      </c>
      <c r="D28" s="14" t="n">
        <v>18002</v>
      </c>
      <c r="E28" s="14" t="n">
        <v>16775</v>
      </c>
      <c r="F28" s="14" t="n">
        <v>13042</v>
      </c>
      <c r="G28" s="15">
        <f>D28/1000</f>
        <v/>
      </c>
      <c r="H28" s="15">
        <f>E28/1000</f>
        <v/>
      </c>
      <c r="I28" s="16">
        <f>IFERROR(D28/F28,"")</f>
        <v/>
      </c>
      <c r="J28" s="17" t="inlineStr"/>
    </row>
    <row r="29">
      <c r="A29" s="4" t="inlineStr">
        <is>
          <t>T-33A</t>
        </is>
      </c>
      <c r="B29" s="5" t="n">
        <v>28.72</v>
      </c>
      <c r="C29" s="6" t="n">
        <v>2599</v>
      </c>
      <c r="D29" s="7" t="n">
        <v>17481</v>
      </c>
      <c r="E29" s="7" t="n">
        <v>16246</v>
      </c>
      <c r="F29" s="7" t="n">
        <v>14141</v>
      </c>
      <c r="G29" s="8">
        <f>D29/1000</f>
        <v/>
      </c>
      <c r="H29" s="8">
        <f>E29/1000</f>
        <v/>
      </c>
      <c r="I29" s="9">
        <f>IFERROR(D29/F29,"")</f>
        <v/>
      </c>
      <c r="J29" s="10" t="inlineStr"/>
    </row>
    <row r="30">
      <c r="A30" s="11" t="inlineStr">
        <is>
          <t>T-32A</t>
        </is>
      </c>
      <c r="B30" s="12" t="n">
        <v>49.81</v>
      </c>
      <c r="C30" s="13" t="n">
        <v>3183</v>
      </c>
      <c r="D30" s="14" t="n">
        <v>17436</v>
      </c>
      <c r="E30" s="14" t="n">
        <v>16203</v>
      </c>
      <c r="F30" s="14" t="n">
        <v>12736</v>
      </c>
      <c r="G30" s="15">
        <f>D30/1000</f>
        <v/>
      </c>
      <c r="H30" s="15">
        <f>E30/1000</f>
        <v/>
      </c>
      <c r="I30" s="16">
        <f>IFERROR(D30/F30,"")</f>
        <v/>
      </c>
      <c r="J30" s="17" t="inlineStr"/>
    </row>
    <row r="31">
      <c r="A31" s="4" t="inlineStr">
        <is>
          <t>T-32B</t>
        </is>
      </c>
      <c r="B31" s="5" t="n">
        <v>56.22</v>
      </c>
      <c r="C31" s="6" t="n">
        <v>3219</v>
      </c>
      <c r="D31" s="7" t="n">
        <v>16889</v>
      </c>
      <c r="E31" s="7" t="n">
        <v>15702</v>
      </c>
      <c r="F31" s="7" t="n">
        <v>12386</v>
      </c>
      <c r="G31" s="8">
        <f>D31/1000</f>
        <v/>
      </c>
      <c r="H31" s="8">
        <f>E31/1000</f>
        <v/>
      </c>
      <c r="I31" s="9">
        <f>IFERROR(D31/F31,"")</f>
        <v/>
      </c>
      <c r="J31" s="10" t="inlineStr"/>
    </row>
    <row r="32">
      <c r="A32" s="11" t="inlineStr">
        <is>
          <t>T-33B</t>
        </is>
      </c>
      <c r="B32" s="12" t="n">
        <v>28.89</v>
      </c>
      <c r="C32" s="13" t="n">
        <v>2630</v>
      </c>
      <c r="D32" s="14" t="n">
        <v>16889</v>
      </c>
      <c r="E32" s="14" t="n">
        <v>15890</v>
      </c>
      <c r="F32" s="14" t="n">
        <v>13724</v>
      </c>
      <c r="G32" s="15">
        <f>D32/1000</f>
        <v/>
      </c>
      <c r="H32" s="15">
        <f>E32/1000</f>
        <v/>
      </c>
      <c r="I32" s="16">
        <f>IFERROR(D32/F32,"")</f>
        <v/>
      </c>
      <c r="J32" s="17" t="inlineStr"/>
    </row>
    <row r="33">
      <c r="A33" s="4" t="inlineStr">
        <is>
          <t>T-32C</t>
        </is>
      </c>
      <c r="B33" s="5" t="n">
        <v>73.53</v>
      </c>
      <c r="C33" s="6" t="n">
        <v>3551</v>
      </c>
      <c r="D33" s="7" t="n">
        <v>16885</v>
      </c>
      <c r="E33" s="7" t="n">
        <v>15493</v>
      </c>
      <c r="F33" s="7" t="n">
        <v>12059</v>
      </c>
      <c r="G33" s="8">
        <f>D33/1000</f>
        <v/>
      </c>
      <c r="H33" s="8">
        <f>E33/1000</f>
        <v/>
      </c>
      <c r="I33" s="9">
        <f>IFERROR(D33/F33,"")</f>
        <v/>
      </c>
      <c r="J33" s="10" t="inlineStr"/>
    </row>
    <row r="34">
      <c r="A34" s="11" t="inlineStr">
        <is>
          <t>T-33D</t>
        </is>
      </c>
      <c r="B34" s="12" t="n">
        <v>20.33</v>
      </c>
      <c r="C34" s="13" t="n">
        <v>1825</v>
      </c>
      <c r="D34" s="14" t="n">
        <v>16659</v>
      </c>
      <c r="E34" s="14" t="n">
        <v>15771</v>
      </c>
      <c r="F34" s="14" t="n">
        <v>13381</v>
      </c>
      <c r="G34" s="15">
        <f>D34/1000</f>
        <v/>
      </c>
      <c r="H34" s="15">
        <f>E34/1000</f>
        <v/>
      </c>
      <c r="I34" s="16">
        <f>IFERROR(D34/F34,"")</f>
        <v/>
      </c>
      <c r="J34" s="17" t="inlineStr"/>
    </row>
    <row r="35">
      <c r="A35" s="4" t="inlineStr">
        <is>
          <t>T-33F</t>
        </is>
      </c>
      <c r="B35" s="5" t="n">
        <v>83.54000000000001</v>
      </c>
      <c r="C35" s="6" t="n">
        <v>3934</v>
      </c>
      <c r="D35" s="7" t="n">
        <v>16659</v>
      </c>
      <c r="E35" s="7" t="n">
        <v>14725</v>
      </c>
      <c r="F35" s="7" t="n">
        <v>12932</v>
      </c>
      <c r="G35" s="8">
        <f>D35/1000</f>
        <v/>
      </c>
      <c r="H35" s="8">
        <f>E35/1000</f>
        <v/>
      </c>
      <c r="I35" s="9">
        <f>IFERROR(D35/F35,"")</f>
        <v/>
      </c>
      <c r="J35" s="10" t="inlineStr"/>
    </row>
    <row r="36">
      <c r="A36" s="11" t="inlineStr">
        <is>
          <t>T-33C</t>
        </is>
      </c>
      <c r="B36" s="12" t="n">
        <v>17.32</v>
      </c>
      <c r="C36" s="13" t="n">
        <v>1739</v>
      </c>
      <c r="D36" s="14" t="n">
        <v>16464</v>
      </c>
      <c r="E36" s="14" t="n">
        <v>15594</v>
      </c>
      <c r="F36" s="14" t="n">
        <v>13605</v>
      </c>
      <c r="G36" s="15">
        <f>D36/1000</f>
        <v/>
      </c>
      <c r="H36" s="15">
        <f>E36/1000</f>
        <v/>
      </c>
      <c r="I36" s="16">
        <f>IFERROR(D36/F36,"")</f>
        <v/>
      </c>
      <c r="J36" s="17" t="inlineStr"/>
    </row>
    <row r="37">
      <c r="A37" s="4" t="inlineStr">
        <is>
          <t>T-33E</t>
        </is>
      </c>
      <c r="B37" s="5" t="n">
        <v>25.66</v>
      </c>
      <c r="C37" s="6" t="n">
        <v>2270</v>
      </c>
      <c r="D37" s="7" t="n">
        <v>15858</v>
      </c>
      <c r="E37" s="7" t="n">
        <v>14728</v>
      </c>
      <c r="F37" s="7" t="n">
        <v>13030</v>
      </c>
      <c r="G37" s="8">
        <f>D37/1000</f>
        <v/>
      </c>
      <c r="H37" s="8">
        <f>E37/1000</f>
        <v/>
      </c>
      <c r="I37" s="9">
        <f>IFERROR(D37/F37,"")</f>
        <v/>
      </c>
      <c r="J37" s="10" t="inlineStr"/>
    </row>
    <row r="38">
      <c r="A38" s="11" t="inlineStr">
        <is>
          <t>T-29B</t>
        </is>
      </c>
      <c r="B38" s="12" t="n">
        <v>51.46</v>
      </c>
      <c r="C38" s="13" t="n">
        <v>3211</v>
      </c>
      <c r="D38" s="14" t="n">
        <v>13930</v>
      </c>
      <c r="E38" s="14" t="n">
        <v>12627</v>
      </c>
      <c r="F38" s="14" t="n">
        <v>10413</v>
      </c>
      <c r="G38" s="15">
        <f>D38/1000</f>
        <v/>
      </c>
      <c r="H38" s="15">
        <f>E38/1000</f>
        <v/>
      </c>
      <c r="I38" s="16">
        <f>IFERROR(D38/F38,"")</f>
        <v/>
      </c>
      <c r="J38" s="17" t="inlineStr"/>
    </row>
    <row r="39">
      <c r="A39" s="4" t="inlineStr">
        <is>
          <t>T-29D</t>
        </is>
      </c>
      <c r="B39" s="5" t="n">
        <v>204.97</v>
      </c>
      <c r="C39" s="6" t="n">
        <v>6009</v>
      </c>
      <c r="D39" s="7" t="n">
        <v>13839</v>
      </c>
      <c r="E39" s="7" t="n">
        <v>11057</v>
      </c>
      <c r="F39" s="7" t="n">
        <v>9361</v>
      </c>
      <c r="G39" s="8">
        <f>D39/1000</f>
        <v/>
      </c>
      <c r="H39" s="8">
        <f>E39/1000</f>
        <v/>
      </c>
      <c r="I39" s="9">
        <f>IFERROR(D39/F39,"")</f>
        <v/>
      </c>
      <c r="J39" s="10" t="inlineStr"/>
    </row>
    <row r="40">
      <c r="A40" s="11" t="inlineStr">
        <is>
          <t>T-29A</t>
        </is>
      </c>
      <c r="B40" s="12" t="n">
        <v>55.07</v>
      </c>
      <c r="C40" s="13" t="n">
        <v>3294</v>
      </c>
      <c r="D40" s="14" t="n">
        <v>13665</v>
      </c>
      <c r="E40" s="14" t="n">
        <v>12020</v>
      </c>
      <c r="F40" s="14" t="n">
        <v>10324</v>
      </c>
      <c r="G40" s="15">
        <f>D40/1000</f>
        <v/>
      </c>
      <c r="H40" s="15">
        <f>E40/1000</f>
        <v/>
      </c>
      <c r="I40" s="16">
        <f>IFERROR(D40/F40,"")</f>
        <v/>
      </c>
      <c r="J40" s="17" t="inlineStr"/>
    </row>
    <row r="41">
      <c r="A41" s="4" t="inlineStr">
        <is>
          <t>T-30C</t>
        </is>
      </c>
      <c r="B41" s="5" t="n">
        <v>135.7</v>
      </c>
      <c r="C41" s="6" t="n">
        <v>5466</v>
      </c>
      <c r="D41" s="7" t="n">
        <v>13455</v>
      </c>
      <c r="E41" s="7" t="n">
        <v>11056</v>
      </c>
      <c r="F41" s="7" t="n">
        <v>9364</v>
      </c>
      <c r="G41" s="8">
        <f>D41/1000</f>
        <v/>
      </c>
      <c r="H41" s="8">
        <f>E41/1000</f>
        <v/>
      </c>
      <c r="I41" s="9">
        <f>IFERROR(D41/F41,"")</f>
        <v/>
      </c>
      <c r="J41" s="10" t="inlineStr"/>
    </row>
    <row r="42">
      <c r="A42" s="11" t="inlineStr">
        <is>
          <t>T-30D</t>
        </is>
      </c>
      <c r="B42" s="12" t="n">
        <v>27.34</v>
      </c>
      <c r="C42" s="13" t="n">
        <v>2417</v>
      </c>
      <c r="D42" s="14" t="n">
        <v>13375</v>
      </c>
      <c r="E42" s="14" t="n">
        <v>12338</v>
      </c>
      <c r="F42" s="14" t="n">
        <v>10355</v>
      </c>
      <c r="G42" s="15">
        <f>D42/1000</f>
        <v/>
      </c>
      <c r="H42" s="15">
        <f>E42/1000</f>
        <v/>
      </c>
      <c r="I42" s="16">
        <f>IFERROR(D42/F42,"")</f>
        <v/>
      </c>
      <c r="J42" s="17" t="inlineStr"/>
    </row>
    <row r="43">
      <c r="A43" s="4" t="inlineStr">
        <is>
          <t>T-30A</t>
        </is>
      </c>
      <c r="B43" s="5" t="n">
        <v>36.37</v>
      </c>
      <c r="C43" s="6" t="n">
        <v>3031</v>
      </c>
      <c r="D43" s="7" t="n">
        <v>13364</v>
      </c>
      <c r="E43" s="7" t="n">
        <v>11984</v>
      </c>
      <c r="F43" s="7" t="n">
        <v>10293</v>
      </c>
      <c r="G43" s="8">
        <f>D43/1000</f>
        <v/>
      </c>
      <c r="H43" s="8">
        <f>E43/1000</f>
        <v/>
      </c>
      <c r="I43" s="9">
        <f>IFERROR(D43/F43,"")</f>
        <v/>
      </c>
      <c r="J43" s="10" t="inlineStr"/>
    </row>
    <row r="44">
      <c r="A44" s="11" t="inlineStr">
        <is>
          <t>T-29C</t>
        </is>
      </c>
      <c r="B44" s="12" t="n">
        <v>43.21</v>
      </c>
      <c r="C44" s="13" t="n">
        <v>2710</v>
      </c>
      <c r="D44" s="14" t="n">
        <v>12779</v>
      </c>
      <c r="E44" s="14" t="n">
        <v>11441</v>
      </c>
      <c r="F44" s="14" t="n">
        <v>9510</v>
      </c>
      <c r="G44" s="15">
        <f>D44/1000</f>
        <v/>
      </c>
      <c r="H44" s="15">
        <f>E44/1000</f>
        <v/>
      </c>
      <c r="I44" s="16">
        <f>IFERROR(D44/F44,"")</f>
        <v/>
      </c>
      <c r="J44" s="17" t="inlineStr"/>
    </row>
    <row r="45">
      <c r="A45" s="4" t="inlineStr">
        <is>
          <t>T-26B</t>
        </is>
      </c>
      <c r="B45" s="5" t="n">
        <v>24.59</v>
      </c>
      <c r="C45" s="6" t="n">
        <v>3289</v>
      </c>
      <c r="D45" s="7" t="n">
        <v>12401</v>
      </c>
      <c r="E45" s="7" t="n">
        <v>10554</v>
      </c>
      <c r="F45" s="7" t="n">
        <v>8560</v>
      </c>
      <c r="G45" s="8">
        <f>D45/1000</f>
        <v/>
      </c>
      <c r="H45" s="8">
        <f>E45/1000</f>
        <v/>
      </c>
      <c r="I45" s="9">
        <f>IFERROR(D45/F45,"")</f>
        <v/>
      </c>
      <c r="J45" s="10" t="inlineStr"/>
    </row>
    <row r="46">
      <c r="A46" s="11" t="inlineStr">
        <is>
          <t>T-26C</t>
        </is>
      </c>
      <c r="B46" s="12" t="n">
        <v>30.09</v>
      </c>
      <c r="C46" s="13" t="n">
        <v>3233</v>
      </c>
      <c r="D46" s="14" t="n">
        <v>12401</v>
      </c>
      <c r="E46" s="14" t="n">
        <v>10128</v>
      </c>
      <c r="F46" s="14" t="n">
        <v>8180</v>
      </c>
      <c r="G46" s="15">
        <f>D46/1000</f>
        <v/>
      </c>
      <c r="H46" s="15">
        <f>E46/1000</f>
        <v/>
      </c>
      <c r="I46" s="16">
        <f>IFERROR(D46/F46,"")</f>
        <v/>
      </c>
      <c r="J46" s="17" t="inlineStr"/>
    </row>
    <row r="47">
      <c r="A47" s="4" t="inlineStr">
        <is>
          <t>T-30B</t>
        </is>
      </c>
      <c r="B47" s="5" t="n">
        <v>40.19</v>
      </c>
      <c r="C47" s="6" t="n">
        <v>2657</v>
      </c>
      <c r="D47" s="7" t="n">
        <v>12387</v>
      </c>
      <c r="E47" s="7" t="n">
        <v>11059</v>
      </c>
      <c r="F47" s="7" t="n">
        <v>9367</v>
      </c>
      <c r="G47" s="8">
        <f>D47/1000</f>
        <v/>
      </c>
      <c r="H47" s="8">
        <f>E47/1000</f>
        <v/>
      </c>
      <c r="I47" s="9">
        <f>IFERROR(D47/F47,"")</f>
        <v/>
      </c>
      <c r="J47" s="10" t="inlineStr"/>
    </row>
    <row r="48">
      <c r="A48" s="11" t="inlineStr">
        <is>
          <t>T-26A</t>
        </is>
      </c>
      <c r="B48" s="12" t="n">
        <v>161.05</v>
      </c>
      <c r="C48" s="13" t="n">
        <v>6277</v>
      </c>
      <c r="D48" s="14" t="n">
        <v>12275</v>
      </c>
      <c r="E48" s="14" t="n">
        <v>9145</v>
      </c>
      <c r="F48" s="14" t="n">
        <v>7560</v>
      </c>
      <c r="G48" s="15">
        <f>D48/1000</f>
        <v/>
      </c>
      <c r="H48" s="15">
        <f>E48/1000</f>
        <v/>
      </c>
      <c r="I48" s="16">
        <f>IFERROR(D48/F48,"")</f>
        <v/>
      </c>
      <c r="J48" s="17" t="inlineStr"/>
    </row>
    <row r="49">
      <c r="A49" s="4" t="inlineStr">
        <is>
          <t>T-27C</t>
        </is>
      </c>
      <c r="B49" s="5" t="n">
        <v>160.22</v>
      </c>
      <c r="C49" s="6" t="n">
        <v>5695</v>
      </c>
      <c r="D49" s="7" t="n">
        <v>11940</v>
      </c>
      <c r="E49" s="7" t="n">
        <v>9142</v>
      </c>
      <c r="F49" s="7" t="n">
        <v>7303</v>
      </c>
      <c r="G49" s="8">
        <f>D49/1000</f>
        <v/>
      </c>
      <c r="H49" s="8">
        <f>E49/1000</f>
        <v/>
      </c>
      <c r="I49" s="9">
        <f>IFERROR(D49/F49,"")</f>
        <v/>
      </c>
      <c r="J49" s="10" t="inlineStr"/>
    </row>
    <row r="50">
      <c r="A50" s="11" t="inlineStr">
        <is>
          <t>T-27B</t>
        </is>
      </c>
      <c r="B50" s="12" t="n">
        <v>26.89</v>
      </c>
      <c r="C50" s="13" t="n">
        <v>2114</v>
      </c>
      <c r="D50" s="14" t="n">
        <v>11267</v>
      </c>
      <c r="E50" s="14" t="n">
        <v>10221</v>
      </c>
      <c r="F50" s="14" t="n">
        <v>7664</v>
      </c>
      <c r="G50" s="15">
        <f>D50/1000</f>
        <v/>
      </c>
      <c r="H50" s="15">
        <f>E50/1000</f>
        <v/>
      </c>
      <c r="I50" s="16">
        <f>IFERROR(D50/F50,"")</f>
        <v/>
      </c>
      <c r="J50" s="17" t="inlineStr"/>
    </row>
    <row r="51">
      <c r="A51" s="4" t="inlineStr">
        <is>
          <t>T-27D</t>
        </is>
      </c>
      <c r="B51" s="5" t="n">
        <v>33.87</v>
      </c>
      <c r="C51" s="6" t="n">
        <v>2414</v>
      </c>
      <c r="D51" s="7" t="n">
        <v>11062</v>
      </c>
      <c r="E51" s="7" t="n">
        <v>9862</v>
      </c>
      <c r="F51" s="7" t="n">
        <v>8238</v>
      </c>
      <c r="G51" s="8">
        <f>D51/1000</f>
        <v/>
      </c>
      <c r="H51" s="8">
        <f>E51/1000</f>
        <v/>
      </c>
      <c r="I51" s="9">
        <f>IFERROR(D51/F51,"")</f>
        <v/>
      </c>
      <c r="J51" s="10" t="inlineStr"/>
    </row>
    <row r="52">
      <c r="A52" s="11" t="inlineStr">
        <is>
          <t>T-17</t>
        </is>
      </c>
      <c r="B52" s="12" t="n">
        <v>190.66</v>
      </c>
      <c r="C52" s="13" t="n">
        <v>7672</v>
      </c>
      <c r="D52" s="14" t="n">
        <v>10723</v>
      </c>
      <c r="E52" s="14" t="n">
        <v>8195</v>
      </c>
      <c r="F52" s="14" t="n">
        <v>5896</v>
      </c>
      <c r="G52" s="15">
        <f>D52/1000</f>
        <v/>
      </c>
      <c r="H52" s="15">
        <f>E52/1000</f>
        <v/>
      </c>
      <c r="I52" s="16">
        <f>IFERROR(D52/F52,"")</f>
        <v/>
      </c>
      <c r="J52" s="17" t="inlineStr"/>
    </row>
    <row r="53">
      <c r="A53" s="4" t="inlineStr">
        <is>
          <t>T-27A</t>
        </is>
      </c>
      <c r="B53" s="5" t="n">
        <v>48.43</v>
      </c>
      <c r="C53" s="6" t="n">
        <v>2895</v>
      </c>
      <c r="D53" s="7" t="n">
        <v>10707</v>
      </c>
      <c r="E53" s="7" t="n">
        <v>9142</v>
      </c>
      <c r="F53" s="7" t="n">
        <v>7306</v>
      </c>
      <c r="G53" s="8">
        <f>D53/1000</f>
        <v/>
      </c>
      <c r="H53" s="8">
        <f>E53/1000</f>
        <v/>
      </c>
      <c r="I53" s="9">
        <f>IFERROR(D53/F53,"")</f>
        <v/>
      </c>
      <c r="J53" s="10" t="inlineStr"/>
    </row>
    <row r="54">
      <c r="A54" s="11" t="inlineStr">
        <is>
          <t>T-22</t>
        </is>
      </c>
      <c r="B54" s="12" t="n">
        <v>303.58</v>
      </c>
      <c r="C54" s="13" t="n">
        <v>7626</v>
      </c>
      <c r="D54" s="14" t="n">
        <v>10570</v>
      </c>
      <c r="E54" s="14" t="n">
        <v>6766</v>
      </c>
      <c r="F54" s="14" t="n">
        <v>6059</v>
      </c>
      <c r="G54" s="15">
        <f>D54/1000</f>
        <v/>
      </c>
      <c r="H54" s="15">
        <f>E54/1000</f>
        <v/>
      </c>
      <c r="I54" s="16">
        <f>IFERROR(D54/F54,"")</f>
        <v/>
      </c>
      <c r="J54" s="17" t="inlineStr"/>
    </row>
    <row r="55">
      <c r="A55" s="4" t="inlineStr">
        <is>
          <t>T-21</t>
        </is>
      </c>
      <c r="B55" s="5" t="n">
        <v>189.65</v>
      </c>
      <c r="C55" s="6" t="n">
        <v>6663</v>
      </c>
      <c r="D55" s="7" t="n">
        <v>9885</v>
      </c>
      <c r="E55" s="7" t="n">
        <v>6570</v>
      </c>
      <c r="F55" s="7" t="n">
        <v>5929</v>
      </c>
      <c r="G55" s="8">
        <f>D55/1000</f>
        <v/>
      </c>
      <c r="H55" s="8">
        <f>E55/1000</f>
        <v/>
      </c>
      <c r="I55" s="9">
        <f>IFERROR(D55/F55,"")</f>
        <v/>
      </c>
      <c r="J55" s="10" t="inlineStr"/>
    </row>
    <row r="56">
      <c r="A56" s="11" t="inlineStr">
        <is>
          <t>T-16</t>
        </is>
      </c>
      <c r="B56" s="12" t="n">
        <v>46.34</v>
      </c>
      <c r="C56" s="13" t="n">
        <v>2872</v>
      </c>
      <c r="D56" s="14" t="n">
        <v>8546</v>
      </c>
      <c r="E56" s="14" t="n">
        <v>7115</v>
      </c>
      <c r="F56" s="14" t="n">
        <v>5202</v>
      </c>
      <c r="G56" s="15">
        <f>D56/1000</f>
        <v/>
      </c>
      <c r="H56" s="15">
        <f>E56/1000</f>
        <v/>
      </c>
      <c r="I56" s="16">
        <f>IFERROR(D56/F56,"")</f>
        <v/>
      </c>
      <c r="J56" s="17" t="inlineStr"/>
    </row>
    <row r="57">
      <c r="A57" s="4" t="inlineStr">
        <is>
          <t>T-05C</t>
        </is>
      </c>
      <c r="B57" s="5" t="n">
        <v>41.44</v>
      </c>
      <c r="C57" s="6" t="n">
        <v>2838</v>
      </c>
      <c r="D57" s="7" t="n">
        <v>6384</v>
      </c>
      <c r="E57" s="7" t="n">
        <v>4965</v>
      </c>
      <c r="F57" s="7" t="n">
        <v>4215</v>
      </c>
      <c r="G57" s="8">
        <f>D57/1000</f>
        <v/>
      </c>
      <c r="H57" s="8">
        <f>E57/1000</f>
        <v/>
      </c>
      <c r="I57" s="9">
        <f>IFERROR(D57/F57,"")</f>
        <v/>
      </c>
      <c r="J57" s="10" t="inlineStr"/>
    </row>
    <row r="58">
      <c r="A58" s="11" t="inlineStr">
        <is>
          <t>T-03</t>
        </is>
      </c>
      <c r="B58" s="12" t="n">
        <v>286.07</v>
      </c>
      <c r="C58" s="13" t="n">
        <v>6866</v>
      </c>
      <c r="D58" s="14" t="n">
        <v>6353</v>
      </c>
      <c r="E58" s="14" t="n">
        <v>2981</v>
      </c>
      <c r="F58" s="14" t="n">
        <v>2661</v>
      </c>
      <c r="G58" s="15">
        <f>D58/1000</f>
        <v/>
      </c>
      <c r="H58" s="15">
        <f>E58/1000</f>
        <v/>
      </c>
      <c r="I58" s="16">
        <f>IFERROR(D58/F58,"")</f>
        <v/>
      </c>
      <c r="J58" s="17" t="inlineStr"/>
    </row>
    <row r="59">
      <c r="A59" s="4" t="inlineStr">
        <is>
          <t>T-05B</t>
        </is>
      </c>
      <c r="B59" s="5" t="n">
        <v>31.8</v>
      </c>
      <c r="C59" s="6" t="n">
        <v>2339</v>
      </c>
      <c r="D59" s="7" t="n">
        <v>6082</v>
      </c>
      <c r="E59" s="7" t="n">
        <v>5019</v>
      </c>
      <c r="F59" s="7" t="n">
        <v>4262</v>
      </c>
      <c r="G59" s="8">
        <f>D59/1000</f>
        <v/>
      </c>
      <c r="H59" s="8">
        <f>E59/1000</f>
        <v/>
      </c>
      <c r="I59" s="9">
        <f>IFERROR(D59/F59,"")</f>
        <v/>
      </c>
      <c r="J59" s="10" t="inlineStr"/>
    </row>
    <row r="60">
      <c r="A60" s="11" t="inlineStr">
        <is>
          <t>T-04</t>
        </is>
      </c>
      <c r="B60" s="12" t="n">
        <v>172.75</v>
      </c>
      <c r="C60" s="13" t="n">
        <v>5905</v>
      </c>
      <c r="D60" s="14" t="n">
        <v>5956</v>
      </c>
      <c r="E60" s="14" t="n">
        <v>3033</v>
      </c>
      <c r="F60" s="14" t="n">
        <v>2656</v>
      </c>
      <c r="G60" s="15">
        <f>D60/1000</f>
        <v/>
      </c>
      <c r="H60" s="15">
        <f>E60/1000</f>
        <v/>
      </c>
      <c r="I60" s="16">
        <f>IFERROR(D60/F60,"")</f>
        <v/>
      </c>
      <c r="J60" s="17" t="inlineStr"/>
    </row>
    <row r="61">
      <c r="A61" s="4" t="inlineStr">
        <is>
          <t>T-05D</t>
        </is>
      </c>
      <c r="B61" s="5" t="n">
        <v>33.87</v>
      </c>
      <c r="C61" s="6" t="n">
        <v>2696</v>
      </c>
      <c r="D61" s="7" t="n">
        <v>5870</v>
      </c>
      <c r="E61" s="7" t="n">
        <v>4711</v>
      </c>
      <c r="F61" s="7" t="n">
        <v>3966</v>
      </c>
      <c r="G61" s="8">
        <f>D61/1000</f>
        <v/>
      </c>
      <c r="H61" s="8">
        <f>E61/1000</f>
        <v/>
      </c>
      <c r="I61" s="9">
        <f>IFERROR(D61/F61,"")</f>
        <v/>
      </c>
      <c r="J61" s="10" t="inlineStr"/>
    </row>
    <row r="62">
      <c r="A62" s="11" t="inlineStr">
        <is>
          <t>T-05A</t>
        </is>
      </c>
      <c r="B62" s="12" t="n">
        <v>49.08</v>
      </c>
      <c r="C62" s="13" t="n">
        <v>3023</v>
      </c>
      <c r="D62" s="14" t="n">
        <v>5667</v>
      </c>
      <c r="E62" s="14" t="n">
        <v>4159</v>
      </c>
      <c r="F62" s="14" t="n">
        <v>3629</v>
      </c>
      <c r="G62" s="15">
        <f>D62/1000</f>
        <v/>
      </c>
      <c r="H62" s="15">
        <f>E62/1000</f>
        <v/>
      </c>
      <c r="I62" s="16">
        <f>IFERROR(D62/F62,"")</f>
        <v/>
      </c>
      <c r="J62" s="17" t="inlineStr"/>
    </row>
    <row r="63">
      <c r="A63" s="4" t="inlineStr">
        <is>
          <t>T-06C</t>
        </is>
      </c>
      <c r="B63" s="5" t="n">
        <v>36.46</v>
      </c>
      <c r="C63" s="6" t="n">
        <v>2605</v>
      </c>
      <c r="D63" s="7" t="n">
        <v>5345</v>
      </c>
      <c r="E63" s="7" t="n">
        <v>4334</v>
      </c>
      <c r="F63" s="7" t="n">
        <v>3603</v>
      </c>
      <c r="G63" s="8">
        <f>D63/1000</f>
        <v/>
      </c>
      <c r="H63" s="8">
        <f>E63/1000</f>
        <v/>
      </c>
      <c r="I63" s="9">
        <f>IFERROR(D63/F63,"")</f>
        <v/>
      </c>
      <c r="J63" s="10" t="inlineStr"/>
    </row>
    <row r="64">
      <c r="A64" s="11" t="inlineStr">
        <is>
          <t>T-CON</t>
        </is>
      </c>
      <c r="B64" s="12" t="n">
        <v>3.24</v>
      </c>
      <c r="C64" s="13" t="n">
        <v>1056</v>
      </c>
      <c r="D64" s="14" t="n">
        <v>5145</v>
      </c>
      <c r="E64" s="14" t="n">
        <v>4712</v>
      </c>
      <c r="F64" s="14" t="n">
        <v>3969</v>
      </c>
      <c r="G64" s="15">
        <f>D64/1000</f>
        <v/>
      </c>
      <c r="H64" s="15">
        <f>E64/1000</f>
        <v/>
      </c>
      <c r="I64" s="16">
        <f>IFERROR(D64/F64,"")</f>
        <v/>
      </c>
      <c r="J64" s="17" t="inlineStr"/>
    </row>
    <row r="65">
      <c r="A65" s="4" t="inlineStr">
        <is>
          <t>T-06B</t>
        </is>
      </c>
      <c r="B65" s="5" t="n">
        <v>40.44</v>
      </c>
      <c r="C65" s="6" t="n">
        <v>2957</v>
      </c>
      <c r="D65" s="7" t="n">
        <v>4739</v>
      </c>
      <c r="E65" s="7" t="n">
        <v>3329</v>
      </c>
      <c r="F65" s="7" t="n">
        <v>2698</v>
      </c>
      <c r="G65" s="8">
        <f>D65/1000</f>
        <v/>
      </c>
      <c r="H65" s="8">
        <f>E65/1000</f>
        <v/>
      </c>
      <c r="I65" s="9">
        <f>IFERROR(D65/F65,"")</f>
        <v/>
      </c>
      <c r="J65" s="10" t="inlineStr"/>
    </row>
    <row r="66">
      <c r="A66" s="18" t="inlineStr">
        <is>
          <t>T-09</t>
        </is>
      </c>
      <c r="B66" s="19" t="n">
        <v>226.37</v>
      </c>
      <c r="C66" s="20" t="n">
        <v>7413</v>
      </c>
      <c r="D66" s="21" t="n">
        <v>4410</v>
      </c>
      <c r="E66" s="21" t="n">
        <v>762</v>
      </c>
      <c r="F66" s="21" t="n">
        <v>554</v>
      </c>
      <c r="G66" s="22">
        <f>D66/1000</f>
        <v/>
      </c>
      <c r="H66" s="22">
        <f>E66/1000</f>
        <v/>
      </c>
      <c r="I66" s="23">
        <f>IFERROR(D66/F66,"")</f>
        <v/>
      </c>
      <c r="J66" s="24" t="inlineStr"/>
    </row>
    <row r="67">
      <c r="A67" s="18" t="inlineStr">
        <is>
          <t>T-02</t>
        </is>
      </c>
      <c r="B67" s="19" t="n">
        <v>159.81</v>
      </c>
      <c r="C67" s="20" t="n">
        <v>5989</v>
      </c>
      <c r="D67" s="21" t="n">
        <v>3775</v>
      </c>
      <c r="E67" s="21" t="n">
        <v>788</v>
      </c>
      <c r="F67" s="21" t="n">
        <v>623</v>
      </c>
      <c r="G67" s="22">
        <f>D67/1000</f>
        <v/>
      </c>
      <c r="H67" s="22">
        <f>E67/1000</f>
        <v/>
      </c>
      <c r="I67" s="23">
        <f>IFERROR(D67/F67,"")</f>
        <v/>
      </c>
      <c r="J67" s="24" t="inlineStr"/>
    </row>
    <row r="68">
      <c r="A68" s="11" t="inlineStr">
        <is>
          <t>T-06A</t>
        </is>
      </c>
      <c r="B68" s="12" t="n">
        <v>39.74</v>
      </c>
      <c r="C68" s="13" t="n">
        <v>3355</v>
      </c>
      <c r="D68" s="14" t="n">
        <v>3737</v>
      </c>
      <c r="E68" s="14" t="n">
        <v>2075</v>
      </c>
      <c r="F68" s="14" t="n">
        <v>1816</v>
      </c>
      <c r="G68" s="15">
        <f>D68/1000</f>
        <v/>
      </c>
      <c r="H68" s="15">
        <f>E68/1000</f>
        <v/>
      </c>
      <c r="I68" s="16">
        <f>IFERROR(D68/F68,"")</f>
        <v/>
      </c>
      <c r="J68" s="17" t="inlineStr"/>
    </row>
    <row r="69">
      <c r="A69" s="4" t="inlineStr">
        <is>
          <t>T-07B</t>
        </is>
      </c>
      <c r="B69" s="5" t="n">
        <v>72.52</v>
      </c>
      <c r="C69" s="6" t="n">
        <v>3558</v>
      </c>
      <c r="D69" s="7" t="n">
        <v>3625</v>
      </c>
      <c r="E69" s="7" t="n">
        <v>2090</v>
      </c>
      <c r="F69" s="7" t="n">
        <v>1840</v>
      </c>
      <c r="G69" s="8">
        <f>D69/1000</f>
        <v/>
      </c>
      <c r="H69" s="8">
        <f>E69/1000</f>
        <v/>
      </c>
      <c r="I69" s="9">
        <f>IFERROR(D69/F69,"")</f>
        <v/>
      </c>
      <c r="J69" s="10" t="inlineStr"/>
    </row>
    <row r="70">
      <c r="A70" s="18" t="inlineStr">
        <is>
          <t>T-10B</t>
        </is>
      </c>
      <c r="B70" s="19" t="n">
        <v>127.8</v>
      </c>
      <c r="C70" s="20" t="n">
        <v>5228</v>
      </c>
      <c r="D70" s="21" t="n">
        <v>2986</v>
      </c>
      <c r="E70" s="21" t="n">
        <v>409</v>
      </c>
      <c r="F70" s="21" t="n">
        <v>289</v>
      </c>
      <c r="G70" s="22">
        <f>D70/1000</f>
        <v/>
      </c>
      <c r="H70" s="22">
        <f>E70/1000</f>
        <v/>
      </c>
      <c r="I70" s="23">
        <f>IFERROR(D70/F70,"")</f>
        <v/>
      </c>
      <c r="J70" s="24" t="inlineStr"/>
    </row>
    <row r="71">
      <c r="A71" s="18" t="inlineStr">
        <is>
          <t>T-07</t>
        </is>
      </c>
      <c r="B71" s="19" t="n">
        <v>93.41</v>
      </c>
      <c r="C71" s="20" t="n">
        <v>4212</v>
      </c>
      <c r="D71" s="21" t="n">
        <v>2666</v>
      </c>
      <c r="E71" s="21" t="n">
        <v>720</v>
      </c>
      <c r="F71" s="21" t="n">
        <v>539</v>
      </c>
      <c r="G71" s="22">
        <f>D71/1000</f>
        <v/>
      </c>
      <c r="H71" s="22">
        <f>E71/1000</f>
        <v/>
      </c>
      <c r="I71" s="23">
        <f>IFERROR(D71/F71,"")</f>
        <v/>
      </c>
      <c r="J71" s="24" t="inlineStr"/>
    </row>
    <row r="72">
      <c r="A72" s="18" t="inlineStr">
        <is>
          <t>T-01</t>
        </is>
      </c>
      <c r="B72" s="19" t="n">
        <v>110.29</v>
      </c>
      <c r="C72" s="20" t="n">
        <v>5351</v>
      </c>
      <c r="D72" s="21" t="n">
        <v>2527</v>
      </c>
      <c r="E72" s="21" t="n">
        <v>172</v>
      </c>
      <c r="F72" s="21" t="n">
        <v>172</v>
      </c>
      <c r="G72" s="22">
        <f>D72/1000</f>
        <v/>
      </c>
      <c r="H72" s="22">
        <f>E72/1000</f>
        <v/>
      </c>
      <c r="I72" s="23">
        <f>IFERROR(D72/F72,"")</f>
        <v/>
      </c>
      <c r="J72" s="24" t="inlineStr"/>
    </row>
    <row r="73">
      <c r="A73" s="4" t="inlineStr">
        <is>
          <t>T-08</t>
        </is>
      </c>
      <c r="B73" s="5" t="n">
        <v>30.12</v>
      </c>
      <c r="C73" s="6" t="n">
        <v>2592</v>
      </c>
      <c r="D73" s="7" t="n">
        <v>2394</v>
      </c>
      <c r="E73" s="7" t="n">
        <v>1163</v>
      </c>
      <c r="F73" s="7" t="n">
        <v>929</v>
      </c>
      <c r="G73" s="8">
        <f>D73/1000</f>
        <v/>
      </c>
      <c r="H73" s="8">
        <f>E73/1000</f>
        <v/>
      </c>
      <c r="I73" s="9">
        <f>IFERROR(D73/F73,"")</f>
        <v/>
      </c>
      <c r="J73" s="10" t="inlineStr"/>
    </row>
    <row r="74">
      <c r="A74" s="18" t="inlineStr">
        <is>
          <t>T-10</t>
        </is>
      </c>
      <c r="B74" s="19" t="n">
        <v>29.65</v>
      </c>
      <c r="C74" s="20" t="n">
        <v>2527</v>
      </c>
      <c r="D74" s="21" t="n">
        <v>1502</v>
      </c>
      <c r="E74" s="21" t="n">
        <v>250</v>
      </c>
      <c r="F74" s="21" t="n">
        <v>250</v>
      </c>
      <c r="G74" s="22">
        <f>D74/1000</f>
        <v/>
      </c>
      <c r="H74" s="22">
        <f>E74/1000</f>
        <v/>
      </c>
      <c r="I74" s="23">
        <f>IFERROR(D74/F74,"")</f>
        <v/>
      </c>
      <c r="J74" s="24" t="inlineStr"/>
    </row>
    <row r="76">
      <c r="A76" s="25" t="inlineStr">
        <is>
          <t>TOTAL / MÁXIMO</t>
        </is>
      </c>
      <c r="B76" s="26">
        <f>SUM(B5:B74)</f>
        <v/>
      </c>
      <c r="D76" s="27">
        <f>MAX(IFERROR(D5:D74*1,0))</f>
        <v/>
      </c>
      <c r="G76" s="28">
        <f>IFERROR(MAX(G5:G74),"")</f>
        <v/>
      </c>
      <c r="I76" s="29">
        <f>IFERROR(AVERAGE(I5:I74),"")</f>
        <v/>
      </c>
    </row>
    <row r="77">
      <c r="A77" s="30" t="inlineStr">
        <is>
          <t>Fundo amarelo = precisa de conferência: fator ≥ 3,0, ligação suposta, ou talhão sem estrada. Veja a coluna Observação.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6" customWidth="1" min="1" max="1"/>
    <col width="95" customWidth="1" min="2" max="2"/>
  </cols>
  <sheetData>
    <row r="1">
      <c r="A1" s="31" t="inlineStr">
        <is>
          <t>Como estes números foram calculados</t>
        </is>
      </c>
    </row>
    <row r="3" ht="30" customHeight="1">
      <c r="A3" s="32" t="inlineStr">
        <is>
          <t>Origem</t>
        </is>
      </c>
      <c r="B3" s="33" t="inlineStr">
        <is>
          <t>Ponto de sede do projeto do Google Earth (-13.586393, -57.555499).</t>
        </is>
      </c>
    </row>
    <row r="4" ht="30" customHeight="1">
      <c r="A4" s="32" t="inlineStr">
        <is>
          <t>Talhões</t>
        </is>
      </c>
      <c r="B4" s="33" t="inlineStr">
        <is>
          <t>70 polígonos da pasta FAZENDA TUCANO.</t>
        </is>
      </c>
    </row>
    <row r="5" ht="30" customHeight="1">
      <c r="A5" s="32" t="inlineStr">
        <is>
          <t>Malha de estradas</t>
        </is>
      </c>
      <c r="B5" s="33" t="inlineStr">
        <is>
          <t>Divisas dos talhões (os carreadores correm nas divisas), costuradas onde talhões vizinhos são separados pela faixa do carreador (até 45 m), mais as estradas de dados/estradas_extra.json.</t>
        </is>
      </c>
    </row>
    <row r="6" ht="30" customHeight="1">
      <c r="A6" s="32" t="inlineStr">
        <is>
          <t>Dist. máxima</t>
        </is>
      </c>
      <c r="B6" s="33" t="inlineStr">
        <is>
          <t>Menor caminho pela estrada, da sede até o ponto MAIS EXTREMO do perímetro do talhão. Não corta por dentro da lavoura.</t>
        </is>
      </c>
    </row>
    <row r="7" ht="30" customHeight="1">
      <c r="A7" s="32" t="inlineStr">
        <is>
          <t>Dist. mínima</t>
        </is>
      </c>
      <c r="B7" s="33" t="inlineStr">
        <is>
          <t>Menor caminho pela estrada, da sede até o ponto de acesso mais próximo.</t>
        </is>
      </c>
    </row>
    <row r="8" ht="30" customHeight="1">
      <c r="A8" s="32" t="inlineStr">
        <is>
          <t>Linha reta</t>
        </is>
      </c>
      <c r="B8" s="33" t="inlineStr">
        <is>
          <t>Distância em linha reta da sede até a borda do talhão. Só referência.</t>
        </is>
      </c>
    </row>
    <row r="9" ht="30" customHeight="1">
      <c r="A9" s="32" t="inlineStr">
        <is>
          <t>Fator</t>
        </is>
      </c>
      <c r="B9" s="33" t="inlineStr">
        <is>
          <t>Dist. máxima ÷ linha reta. Fator alto = rota indireta, ou estrada faltando na malha.</t>
        </is>
      </c>
    </row>
    <row r="10" ht="30" customHeight="1">
      <c r="A10" s="32" t="inlineStr">
        <is>
          <t>Coordenadas</t>
        </is>
      </c>
      <c r="B10" s="33" t="inlineStr">
        <is>
          <t>SIRGAS 2000 / UTM 21S (EPSG:31981) para distâncias e áreas.</t>
        </is>
      </c>
    </row>
    <row r="11" ht="30" customHeight="1">
      <c r="A11" s="32" t="inlineStr">
        <is>
          <t>Resolução</t>
        </is>
      </c>
      <c r="B11" s="33" t="inlineStr">
        <is>
          <t>Malha densificada a cada 25 m — é a precisão do 'ponto mais extremo'.</t>
        </is>
      </c>
    </row>
    <row r="12" ht="30" customHeight="1">
      <c r="A12" s="32" t="inlineStr">
        <is>
          <t>Validação</t>
        </is>
      </c>
      <c r="B12" s="33" t="inlineStr">
        <is>
          <t>A malha precisa ser conferida por quem roda a fazenda. Use o arquivo _bancada.html.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2026-09-15T15:44:32Z</dcterms:created>
  <dcterms:modified xmlns:dcterms="http://purl.org/dc/terms/" xmlns:xsi="http://www.w3.org/2001/XMLSchema-instance" xsi:type="dcterms:W3CDTF">2026-09-15T15:44:32Z</dcterms:modified>
</cp:coreProperties>
</file>