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color rgb="00C00000"/>
      <sz val="10"/>
    </font>
    <font>
      <name val="Arial"/>
      <i val="1"/>
      <color rgb="00C00000"/>
      <sz val="9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7" fillId="4" borderId="1" pivotButton="0" quotePrefix="0" xfId="0"/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3" fontId="8" fillId="3" borderId="1" pivotButton="0" quotePrefix="0" xfId="0"/>
    <xf numFmtId="4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0" fontId="9" fillId="3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PROMISSÃO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T-04</t>
        </is>
      </c>
      <c r="B5" s="5" t="n">
        <v>222.45</v>
      </c>
      <c r="C5" s="6" t="n">
        <v>5898</v>
      </c>
      <c r="D5" s="7" t="n">
        <v>13992</v>
      </c>
      <c r="E5" s="7" t="n">
        <v>11110</v>
      </c>
      <c r="F5" s="7" t="n">
        <v>4632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T-03</t>
        </is>
      </c>
      <c r="B6" s="12" t="n">
        <v>215.16</v>
      </c>
      <c r="C6" s="13" t="n">
        <v>5870</v>
      </c>
      <c r="D6" s="14" t="n">
        <v>12620</v>
      </c>
      <c r="E6" s="14" t="n">
        <v>9699</v>
      </c>
      <c r="F6" s="14" t="n">
        <v>5463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T-05</t>
        </is>
      </c>
      <c r="B7" s="5" t="n">
        <v>176.55</v>
      </c>
      <c r="C7" s="6" t="n">
        <v>7594</v>
      </c>
      <c r="D7" s="7" t="n">
        <v>12490</v>
      </c>
      <c r="E7" s="7" t="n">
        <v>9017</v>
      </c>
      <c r="F7" s="7" t="n">
        <v>3538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T-01</t>
        </is>
      </c>
      <c r="B8" s="12" t="n">
        <v>217.12</v>
      </c>
      <c r="C8" s="13" t="n">
        <v>6055</v>
      </c>
      <c r="D8" s="14" t="n">
        <v>12296</v>
      </c>
      <c r="E8" s="14" t="n">
        <v>9276</v>
      </c>
      <c r="F8" s="14" t="n">
        <v>7665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18" t="inlineStr">
        <is>
          <t>T-02</t>
        </is>
      </c>
      <c r="B9" s="19" t="n">
        <v>216.07</v>
      </c>
      <c r="C9" s="20" t="n">
        <v>5881</v>
      </c>
      <c r="D9" s="21" t="n">
        <v>11710</v>
      </c>
      <c r="E9" s="21" t="n">
        <v>9276</v>
      </c>
      <c r="F9" s="21" t="n">
        <v>6496</v>
      </c>
      <c r="G9" s="22">
        <f>D9/1000</f>
        <v/>
      </c>
      <c r="H9" s="22">
        <f>E9/1000</f>
        <v/>
      </c>
      <c r="I9" s="23">
        <f>IFERROR(D9/F9,"")</f>
        <v/>
      </c>
      <c r="J9" s="24" t="inlineStr"/>
    </row>
    <row r="10">
      <c r="A10" s="11" t="inlineStr">
        <is>
          <t>T-06</t>
        </is>
      </c>
      <c r="B10" s="12" t="n">
        <v>211.14</v>
      </c>
      <c r="C10" s="13" t="n">
        <v>5814</v>
      </c>
      <c r="D10" s="14" t="n">
        <v>11110</v>
      </c>
      <c r="E10" s="14" t="n">
        <v>8210</v>
      </c>
      <c r="F10" s="14" t="n">
        <v>4461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18" t="inlineStr">
        <is>
          <t>T-08</t>
        </is>
      </c>
      <c r="B11" s="19" t="n">
        <v>128.52</v>
      </c>
      <c r="C11" s="20" t="n">
        <v>5847</v>
      </c>
      <c r="D11" s="21" t="n">
        <v>10699</v>
      </c>
      <c r="E11" s="21" t="n">
        <v>7781</v>
      </c>
      <c r="F11" s="21" t="n">
        <v>6977</v>
      </c>
      <c r="G11" s="22">
        <f>D11/1000</f>
        <v/>
      </c>
      <c r="H11" s="22">
        <f>E11/1000</f>
        <v/>
      </c>
      <c r="I11" s="23">
        <f>IFERROR(D11/F11,"")</f>
        <v/>
      </c>
      <c r="J11" s="24" t="inlineStr"/>
    </row>
    <row r="12">
      <c r="A12" s="11" t="inlineStr">
        <is>
          <t>T-07</t>
        </is>
      </c>
      <c r="B12" s="12" t="n">
        <v>214</v>
      </c>
      <c r="C12" s="13" t="n">
        <v>5853</v>
      </c>
      <c r="D12" s="14" t="n">
        <v>10201</v>
      </c>
      <c r="E12" s="14" t="n">
        <v>7781</v>
      </c>
      <c r="F12" s="14" t="n">
        <v>5666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T-24</t>
        </is>
      </c>
      <c r="B13" s="5" t="n">
        <v>313.18</v>
      </c>
      <c r="C13" s="6" t="n">
        <v>7098</v>
      </c>
      <c r="D13" s="7" t="n">
        <v>10067</v>
      </c>
      <c r="E13" s="7" t="n">
        <v>6529</v>
      </c>
      <c r="F13" s="7" t="n">
        <v>2810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4" t="inlineStr">
        <is>
          <t>T-11</t>
        </is>
      </c>
      <c r="B14" s="5" t="n">
        <v>303.27</v>
      </c>
      <c r="C14" s="6" t="n">
        <v>7420</v>
      </c>
      <c r="D14" s="7" t="n">
        <v>9927</v>
      </c>
      <c r="E14" s="7" t="n">
        <v>6224</v>
      </c>
      <c r="F14" s="7" t="n">
        <v>2827</v>
      </c>
      <c r="G14" s="8">
        <f>D14/1000</f>
        <v/>
      </c>
      <c r="H14" s="8">
        <f>E14/1000</f>
        <v/>
      </c>
      <c r="I14" s="9">
        <f>IFERROR(D14/F14,"")</f>
        <v/>
      </c>
      <c r="J14" s="10" t="inlineStr"/>
    </row>
    <row r="15">
      <c r="A15" s="4" t="inlineStr">
        <is>
          <t>T-25</t>
        </is>
      </c>
      <c r="B15" s="5" t="n">
        <v>128.42</v>
      </c>
      <c r="C15" s="6" t="n">
        <v>6551</v>
      </c>
      <c r="D15" s="7" t="n">
        <v>8765</v>
      </c>
      <c r="E15" s="7" t="n">
        <v>6106</v>
      </c>
      <c r="F15" s="7" t="n">
        <v>2542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T-10</t>
        </is>
      </c>
      <c r="B16" s="12" t="n">
        <v>225.86</v>
      </c>
      <c r="C16" s="13" t="n">
        <v>6836</v>
      </c>
      <c r="D16" s="14" t="n">
        <v>8707</v>
      </c>
      <c r="E16" s="14" t="n">
        <v>5290</v>
      </c>
      <c r="F16" s="14" t="n">
        <v>3960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18" t="inlineStr">
        <is>
          <t>T-09</t>
        </is>
      </c>
      <c r="B17" s="19" t="n">
        <v>136.16</v>
      </c>
      <c r="C17" s="20" t="n">
        <v>5252</v>
      </c>
      <c r="D17" s="21" t="n">
        <v>8418</v>
      </c>
      <c r="E17" s="21" t="n">
        <v>5803</v>
      </c>
      <c r="F17" s="21" t="n">
        <v>5369</v>
      </c>
      <c r="G17" s="22">
        <f>D17/1000</f>
        <v/>
      </c>
      <c r="H17" s="22">
        <f>E17/1000</f>
        <v/>
      </c>
      <c r="I17" s="23">
        <f>IFERROR(D17/F17,"")</f>
        <v/>
      </c>
      <c r="J17" s="24" t="inlineStr"/>
    </row>
    <row r="18">
      <c r="A18" s="4" t="inlineStr">
        <is>
          <t>T-20</t>
        </is>
      </c>
      <c r="B18" s="5" t="n">
        <v>240.55</v>
      </c>
      <c r="C18" s="6" t="n">
        <v>9293</v>
      </c>
      <c r="D18" s="7" t="n">
        <v>8379</v>
      </c>
      <c r="E18" s="7" t="n">
        <v>3762</v>
      </c>
      <c r="F18" s="7" t="n">
        <v>1215</v>
      </c>
      <c r="G18" s="8">
        <f>D18/1000</f>
        <v/>
      </c>
      <c r="H18" s="8">
        <f>E18/1000</f>
        <v/>
      </c>
      <c r="I18" s="9">
        <f>IFERROR(D18/F18,"")</f>
        <v/>
      </c>
      <c r="J18" s="10" t="inlineStr"/>
    </row>
    <row r="19">
      <c r="A19" s="18" t="inlineStr">
        <is>
          <t>T-14</t>
        </is>
      </c>
      <c r="B19" s="19" t="n">
        <v>180.97</v>
      </c>
      <c r="C19" s="20" t="n">
        <v>5840</v>
      </c>
      <c r="D19" s="21" t="n">
        <v>8295</v>
      </c>
      <c r="E19" s="21" t="n">
        <v>5792</v>
      </c>
      <c r="F19" s="21" t="n">
        <v>3349</v>
      </c>
      <c r="G19" s="22">
        <f>D19/1000</f>
        <v/>
      </c>
      <c r="H19" s="22">
        <f>E19/1000</f>
        <v/>
      </c>
      <c r="I19" s="23">
        <f>IFERROR(D19/F19,"")</f>
        <v/>
      </c>
      <c r="J19" s="24" t="inlineStr"/>
    </row>
    <row r="20">
      <c r="A20" s="11" t="inlineStr">
        <is>
          <t>T-13</t>
        </is>
      </c>
      <c r="B20" s="12" t="n">
        <v>198.71</v>
      </c>
      <c r="C20" s="13" t="n">
        <v>5502</v>
      </c>
      <c r="D20" s="14" t="n">
        <v>8255</v>
      </c>
      <c r="E20" s="14" t="n">
        <v>5963</v>
      </c>
      <c r="F20" s="14" t="n">
        <v>4181</v>
      </c>
      <c r="G20" s="15">
        <f>D20/1000</f>
        <v/>
      </c>
      <c r="H20" s="15">
        <f>E20/1000</f>
        <v/>
      </c>
      <c r="I20" s="16">
        <f>IFERROR(D20/F20,"")</f>
        <v/>
      </c>
      <c r="J20" s="17" t="inlineStr"/>
    </row>
    <row r="21">
      <c r="A21" s="4" t="inlineStr">
        <is>
          <t>T-23</t>
        </is>
      </c>
      <c r="B21" s="5" t="n">
        <v>249.78</v>
      </c>
      <c r="C21" s="6" t="n">
        <v>6425</v>
      </c>
      <c r="D21" s="7" t="n">
        <v>8245</v>
      </c>
      <c r="E21" s="7" t="n">
        <v>5045</v>
      </c>
      <c r="F21" s="7" t="n">
        <v>1605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/>
    </row>
    <row r="22">
      <c r="A22" s="11" t="inlineStr">
        <is>
          <t>T-19</t>
        </is>
      </c>
      <c r="B22" s="12" t="n">
        <v>207.35</v>
      </c>
      <c r="C22" s="13" t="n">
        <v>5781</v>
      </c>
      <c r="D22" s="14" t="n">
        <v>7549</v>
      </c>
      <c r="E22" s="14" t="n">
        <v>5191</v>
      </c>
      <c r="F22" s="14" t="n">
        <v>2643</v>
      </c>
      <c r="G22" s="15">
        <f>D22/1000</f>
        <v/>
      </c>
      <c r="H22" s="15">
        <f>E22/1000</f>
        <v/>
      </c>
      <c r="I22" s="16">
        <f>IFERROR(D22/F22,"")</f>
        <v/>
      </c>
      <c r="J22" s="17" t="inlineStr"/>
    </row>
    <row r="23">
      <c r="A23" s="4" t="inlineStr">
        <is>
          <t>T-22</t>
        </is>
      </c>
      <c r="B23" s="5" t="n">
        <v>268.29</v>
      </c>
      <c r="C23" s="6" t="n">
        <v>6666</v>
      </c>
      <c r="D23" s="7" t="n">
        <v>7120</v>
      </c>
      <c r="E23" s="7" t="n">
        <v>4076</v>
      </c>
      <c r="F23" s="7" t="n">
        <v>954</v>
      </c>
      <c r="G23" s="8">
        <f>D23/1000</f>
        <v/>
      </c>
      <c r="H23" s="8">
        <f>E23/1000</f>
        <v/>
      </c>
      <c r="I23" s="9">
        <f>IFERROR(D23/F23,"")</f>
        <v/>
      </c>
      <c r="J23" s="10" t="inlineStr"/>
    </row>
    <row r="24">
      <c r="A24" s="11" t="inlineStr">
        <is>
          <t>T-12</t>
        </is>
      </c>
      <c r="B24" s="12" t="n">
        <v>196.2</v>
      </c>
      <c r="C24" s="13" t="n">
        <v>5516</v>
      </c>
      <c r="D24" s="14" t="n">
        <v>7030</v>
      </c>
      <c r="E24" s="14" t="n">
        <v>4281</v>
      </c>
      <c r="F24" s="14" t="n">
        <v>3785</v>
      </c>
      <c r="G24" s="15">
        <f>D24/1000</f>
        <v/>
      </c>
      <c r="H24" s="15">
        <f>E24/1000</f>
        <v/>
      </c>
      <c r="I24" s="16">
        <f>IFERROR(D24/F24,"")</f>
        <v/>
      </c>
      <c r="J24" s="17" t="inlineStr"/>
    </row>
    <row r="25">
      <c r="A25" s="18" t="inlineStr">
        <is>
          <t>T-15</t>
        </is>
      </c>
      <c r="B25" s="19" t="n">
        <v>189.27</v>
      </c>
      <c r="C25" s="20" t="n">
        <v>5556</v>
      </c>
      <c r="D25" s="21" t="n">
        <v>6946</v>
      </c>
      <c r="E25" s="21" t="n">
        <v>4324</v>
      </c>
      <c r="F25" s="21" t="n">
        <v>2759</v>
      </c>
      <c r="G25" s="22">
        <f>D25/1000</f>
        <v/>
      </c>
      <c r="H25" s="22">
        <f>E25/1000</f>
        <v/>
      </c>
      <c r="I25" s="23">
        <f>IFERROR(D25/F25,"")</f>
        <v/>
      </c>
      <c r="J25" s="24" t="inlineStr"/>
    </row>
    <row r="26">
      <c r="A26" s="4" t="inlineStr">
        <is>
          <t>T-18</t>
        </is>
      </c>
      <c r="B26" s="5" t="n">
        <v>265.83</v>
      </c>
      <c r="C26" s="6" t="n">
        <v>6634</v>
      </c>
      <c r="D26" s="7" t="n">
        <v>6307</v>
      </c>
      <c r="E26" s="7" t="n">
        <v>3762</v>
      </c>
      <c r="F26" s="7" t="n">
        <v>1241</v>
      </c>
      <c r="G26" s="8">
        <f>D26/1000</f>
        <v/>
      </c>
      <c r="H26" s="8">
        <f>E26/1000</f>
        <v/>
      </c>
      <c r="I26" s="9">
        <f>IFERROR(D26/F26,"")</f>
        <v/>
      </c>
      <c r="J26" s="10" t="inlineStr"/>
    </row>
    <row r="27">
      <c r="A27" s="18" t="inlineStr">
        <is>
          <t>T-16</t>
        </is>
      </c>
      <c r="B27" s="19" t="n">
        <v>113.43</v>
      </c>
      <c r="C27" s="20" t="n">
        <v>4317</v>
      </c>
      <c r="D27" s="21" t="n">
        <v>5266</v>
      </c>
      <c r="E27" s="21" t="n">
        <v>3109</v>
      </c>
      <c r="F27" s="21" t="n">
        <v>2713</v>
      </c>
      <c r="G27" s="22">
        <f>D27/1000</f>
        <v/>
      </c>
      <c r="H27" s="22">
        <f>E27/1000</f>
        <v/>
      </c>
      <c r="I27" s="23">
        <f>IFERROR(D27/F27,"")</f>
        <v/>
      </c>
      <c r="J27" s="24" t="inlineStr"/>
    </row>
    <row r="28">
      <c r="A28" s="4" t="inlineStr">
        <is>
          <t>T-21</t>
        </is>
      </c>
      <c r="B28" s="5" t="n">
        <v>135.82</v>
      </c>
      <c r="C28" s="6" t="n">
        <v>5029</v>
      </c>
      <c r="D28" s="7" t="n">
        <v>5242</v>
      </c>
      <c r="E28" s="7" t="n">
        <v>2743</v>
      </c>
      <c r="F28" s="7" t="n">
        <v>218</v>
      </c>
      <c r="G28" s="8">
        <f>D28/1000</f>
        <v/>
      </c>
      <c r="H28" s="8">
        <f>E28/1000</f>
        <v/>
      </c>
      <c r="I28" s="9">
        <f>IFERROR(D28/F28,"")</f>
        <v/>
      </c>
      <c r="J28" s="10" t="inlineStr"/>
    </row>
    <row r="29">
      <c r="A29" s="4" t="inlineStr">
        <is>
          <t>T-17</t>
        </is>
      </c>
      <c r="B29" s="5" t="n">
        <v>356.7</v>
      </c>
      <c r="C29" s="6" t="n">
        <v>10087</v>
      </c>
      <c r="D29" s="7" t="n">
        <v>5080</v>
      </c>
      <c r="E29" s="7" t="n">
        <v>44</v>
      </c>
      <c r="F29" s="7" t="n">
        <v>44</v>
      </c>
      <c r="G29" s="8">
        <f>D29/1000</f>
        <v/>
      </c>
      <c r="H29" s="8">
        <f>E29/1000</f>
        <v/>
      </c>
      <c r="I29" s="9">
        <f>IFERROR(D29/F29,"")</f>
        <v/>
      </c>
      <c r="J29" s="10" t="inlineStr"/>
    </row>
    <row r="30">
      <c r="A30" s="4" t="inlineStr">
        <is>
          <t>T-29C</t>
        </is>
      </c>
      <c r="B30" s="5" t="n">
        <v>27.2</v>
      </c>
      <c r="C30" s="6" t="n">
        <v>2922</v>
      </c>
      <c r="D30" s="7" t="n">
        <v>1528</v>
      </c>
      <c r="E30" s="7" t="n">
        <v>68</v>
      </c>
      <c r="F30" s="7" t="n">
        <v>61</v>
      </c>
      <c r="G30" s="8">
        <f>D30/1000</f>
        <v/>
      </c>
      <c r="H30" s="8">
        <f>E30/1000</f>
        <v/>
      </c>
      <c r="I30" s="9">
        <f>IFERROR(D30/F30,"")</f>
        <v/>
      </c>
      <c r="J30" s="10" t="inlineStr"/>
    </row>
    <row r="31">
      <c r="A31" s="4" t="inlineStr">
        <is>
          <t>T-26</t>
        </is>
      </c>
      <c r="B31" s="5" t="n">
        <v>147.1</v>
      </c>
      <c r="C31" s="6" t="n">
        <v>5457</v>
      </c>
      <c r="D31" s="25" t="inlineStr">
        <is>
          <t>sem acesso</t>
        </is>
      </c>
      <c r="E31" s="25" t="inlineStr">
        <is>
          <t>sem acesso</t>
        </is>
      </c>
      <c r="F31" s="7" t="n">
        <v>1631</v>
      </c>
      <c r="G31" s="26" t="inlineStr">
        <is>
          <t>—</t>
        </is>
      </c>
      <c r="H31" s="26" t="inlineStr">
        <is>
          <t>—</t>
        </is>
      </c>
      <c r="I31" s="27" t="inlineStr">
        <is>
          <t>—</t>
        </is>
      </c>
      <c r="J31" s="28" t="inlineStr">
        <is>
          <t>sem estrada até este talhão</t>
        </is>
      </c>
    </row>
    <row r="32">
      <c r="A32" s="4" t="inlineStr">
        <is>
          <t>T-26A</t>
        </is>
      </c>
      <c r="B32" s="5" t="n">
        <v>127.51</v>
      </c>
      <c r="C32" s="6" t="n">
        <v>5515</v>
      </c>
      <c r="D32" s="25" t="inlineStr">
        <is>
          <t>sem acesso</t>
        </is>
      </c>
      <c r="E32" s="25" t="inlineStr">
        <is>
          <t>sem acesso</t>
        </is>
      </c>
      <c r="F32" s="7" t="n">
        <v>2671</v>
      </c>
      <c r="G32" s="26" t="inlineStr">
        <is>
          <t>—</t>
        </is>
      </c>
      <c r="H32" s="26" t="inlineStr">
        <is>
          <t>—</t>
        </is>
      </c>
      <c r="I32" s="27" t="inlineStr">
        <is>
          <t>—</t>
        </is>
      </c>
      <c r="J32" s="28" t="inlineStr">
        <is>
          <t>sem estrada até este talhão</t>
        </is>
      </c>
    </row>
    <row r="33">
      <c r="A33" s="4" t="inlineStr">
        <is>
          <t>T-27</t>
        </is>
      </c>
      <c r="B33" s="5" t="n">
        <v>248.35</v>
      </c>
      <c r="C33" s="6" t="n">
        <v>7351</v>
      </c>
      <c r="D33" s="25" t="inlineStr">
        <is>
          <t>sem acesso</t>
        </is>
      </c>
      <c r="E33" s="25" t="inlineStr">
        <is>
          <t>sem acesso</t>
        </is>
      </c>
      <c r="F33" s="7" t="n">
        <v>4648</v>
      </c>
      <c r="G33" s="26" t="inlineStr">
        <is>
          <t>—</t>
        </is>
      </c>
      <c r="H33" s="26" t="inlineStr">
        <is>
          <t>—</t>
        </is>
      </c>
      <c r="I33" s="27" t="inlineStr">
        <is>
          <t>—</t>
        </is>
      </c>
      <c r="J33" s="28" t="inlineStr">
        <is>
          <t>sem estrada até este talhão</t>
        </is>
      </c>
    </row>
    <row r="34">
      <c r="A34" s="4" t="inlineStr">
        <is>
          <t>T-28</t>
        </is>
      </c>
      <c r="B34" s="5" t="n">
        <v>181.92</v>
      </c>
      <c r="C34" s="6" t="n">
        <v>6154</v>
      </c>
      <c r="D34" s="25" t="inlineStr">
        <is>
          <t>sem acesso</t>
        </is>
      </c>
      <c r="E34" s="25" t="inlineStr">
        <is>
          <t>sem acesso</t>
        </is>
      </c>
      <c r="F34" s="7" t="n">
        <v>5748</v>
      </c>
      <c r="G34" s="26" t="inlineStr">
        <is>
          <t>—</t>
        </is>
      </c>
      <c r="H34" s="26" t="inlineStr">
        <is>
          <t>—</t>
        </is>
      </c>
      <c r="I34" s="27" t="inlineStr">
        <is>
          <t>—</t>
        </is>
      </c>
      <c r="J34" s="28" t="inlineStr">
        <is>
          <t>sem estrada até este talhão</t>
        </is>
      </c>
    </row>
    <row r="35">
      <c r="A35" s="4" t="inlineStr">
        <is>
          <t>T-29 C</t>
        </is>
      </c>
      <c r="B35" s="5" t="n">
        <v>23</v>
      </c>
      <c r="C35" s="6" t="n">
        <v>3375</v>
      </c>
      <c r="D35" s="25" t="inlineStr">
        <is>
          <t>sem acesso</t>
        </is>
      </c>
      <c r="E35" s="25" t="inlineStr">
        <is>
          <t>sem acesso</t>
        </is>
      </c>
      <c r="F35" s="7" t="n">
        <v>2251</v>
      </c>
      <c r="G35" s="26" t="inlineStr">
        <is>
          <t>—</t>
        </is>
      </c>
      <c r="H35" s="26" t="inlineStr">
        <is>
          <t>—</t>
        </is>
      </c>
      <c r="I35" s="27" t="inlineStr">
        <is>
          <t>—</t>
        </is>
      </c>
      <c r="J35" s="28" t="inlineStr">
        <is>
          <t>sem estrada até este talhão</t>
        </is>
      </c>
    </row>
    <row r="36">
      <c r="A36" s="4" t="inlineStr">
        <is>
          <t>T-29A</t>
        </is>
      </c>
      <c r="B36" s="5" t="n">
        <v>158.57</v>
      </c>
      <c r="C36" s="6" t="n">
        <v>5634</v>
      </c>
      <c r="D36" s="25" t="inlineStr">
        <is>
          <t>sem acesso</t>
        </is>
      </c>
      <c r="E36" s="25" t="inlineStr">
        <is>
          <t>sem acesso</t>
        </is>
      </c>
      <c r="F36" s="7" t="n">
        <v>3705</v>
      </c>
      <c r="G36" s="26" t="inlineStr">
        <is>
          <t>—</t>
        </is>
      </c>
      <c r="H36" s="26" t="inlineStr">
        <is>
          <t>—</t>
        </is>
      </c>
      <c r="I36" s="27" t="inlineStr">
        <is>
          <t>—</t>
        </is>
      </c>
      <c r="J36" s="28" t="inlineStr">
        <is>
          <t>sem estrada até este talhão</t>
        </is>
      </c>
    </row>
    <row r="37">
      <c r="A37" s="4" t="inlineStr">
        <is>
          <t>T-29B</t>
        </is>
      </c>
      <c r="B37" s="5" t="n">
        <v>115.08</v>
      </c>
      <c r="C37" s="6" t="n">
        <v>5656</v>
      </c>
      <c r="D37" s="25" t="inlineStr">
        <is>
          <t>sem acesso</t>
        </is>
      </c>
      <c r="E37" s="25" t="inlineStr">
        <is>
          <t>sem acesso</t>
        </is>
      </c>
      <c r="F37" s="7" t="n">
        <v>2262</v>
      </c>
      <c r="G37" s="26" t="inlineStr">
        <is>
          <t>—</t>
        </is>
      </c>
      <c r="H37" s="26" t="inlineStr">
        <is>
          <t>—</t>
        </is>
      </c>
      <c r="I37" s="27" t="inlineStr">
        <is>
          <t>—</t>
        </is>
      </c>
      <c r="J37" s="28" t="inlineStr">
        <is>
          <t>sem estrada até este talhão</t>
        </is>
      </c>
    </row>
    <row r="38">
      <c r="A38" s="4" t="inlineStr">
        <is>
          <t>T-30A</t>
        </is>
      </c>
      <c r="B38" s="5" t="n">
        <v>101.07</v>
      </c>
      <c r="C38" s="6" t="n">
        <v>4286</v>
      </c>
      <c r="D38" s="25" t="inlineStr">
        <is>
          <t>sem acesso</t>
        </is>
      </c>
      <c r="E38" s="25" t="inlineStr">
        <is>
          <t>sem acesso</t>
        </is>
      </c>
      <c r="F38" s="7" t="n">
        <v>4476</v>
      </c>
      <c r="G38" s="26" t="inlineStr">
        <is>
          <t>—</t>
        </is>
      </c>
      <c r="H38" s="26" t="inlineStr">
        <is>
          <t>—</t>
        </is>
      </c>
      <c r="I38" s="27" t="inlineStr">
        <is>
          <t>—</t>
        </is>
      </c>
      <c r="J38" s="28" t="inlineStr">
        <is>
          <t>sem estrada até este talhão</t>
        </is>
      </c>
    </row>
    <row r="39">
      <c r="A39" s="4" t="inlineStr">
        <is>
          <t>T-30B</t>
        </is>
      </c>
      <c r="B39" s="5" t="n">
        <v>129.79</v>
      </c>
      <c r="C39" s="6" t="n">
        <v>4831</v>
      </c>
      <c r="D39" s="25" t="inlineStr">
        <is>
          <t>sem acesso</t>
        </is>
      </c>
      <c r="E39" s="25" t="inlineStr">
        <is>
          <t>sem acesso</t>
        </is>
      </c>
      <c r="F39" s="7" t="n">
        <v>3323</v>
      </c>
      <c r="G39" s="26" t="inlineStr">
        <is>
          <t>—</t>
        </is>
      </c>
      <c r="H39" s="26" t="inlineStr">
        <is>
          <t>—</t>
        </is>
      </c>
      <c r="I39" s="27" t="inlineStr">
        <is>
          <t>—</t>
        </is>
      </c>
      <c r="J39" s="28" t="inlineStr">
        <is>
          <t>sem estrada até este talhão</t>
        </is>
      </c>
    </row>
    <row r="40">
      <c r="A40" s="4" t="inlineStr">
        <is>
          <t>T-30C</t>
        </is>
      </c>
      <c r="B40" s="5" t="n">
        <v>53.2</v>
      </c>
      <c r="C40" s="6" t="n">
        <v>3095</v>
      </c>
      <c r="D40" s="25" t="inlineStr">
        <is>
          <t>sem acesso</t>
        </is>
      </c>
      <c r="E40" s="25" t="inlineStr">
        <is>
          <t>sem acesso</t>
        </is>
      </c>
      <c r="F40" s="7" t="n">
        <v>3321</v>
      </c>
      <c r="G40" s="26" t="inlineStr">
        <is>
          <t>—</t>
        </is>
      </c>
      <c r="H40" s="26" t="inlineStr">
        <is>
          <t>—</t>
        </is>
      </c>
      <c r="I40" s="27" t="inlineStr">
        <is>
          <t>—</t>
        </is>
      </c>
      <c r="J40" s="28" t="inlineStr">
        <is>
          <t>sem estrada até este talhão</t>
        </is>
      </c>
    </row>
    <row r="41">
      <c r="A41" s="4" t="inlineStr">
        <is>
          <t>T-31A</t>
        </is>
      </c>
      <c r="B41" s="5" t="n">
        <v>132.85</v>
      </c>
      <c r="C41" s="6" t="n">
        <v>5047</v>
      </c>
      <c r="D41" s="25" t="inlineStr">
        <is>
          <t>sem acesso</t>
        </is>
      </c>
      <c r="E41" s="25" t="inlineStr">
        <is>
          <t>sem acesso</t>
        </is>
      </c>
      <c r="F41" s="7" t="n">
        <v>4795</v>
      </c>
      <c r="G41" s="26" t="inlineStr">
        <is>
          <t>—</t>
        </is>
      </c>
      <c r="H41" s="26" t="inlineStr">
        <is>
          <t>—</t>
        </is>
      </c>
      <c r="I41" s="27" t="inlineStr">
        <is>
          <t>—</t>
        </is>
      </c>
      <c r="J41" s="28" t="inlineStr">
        <is>
          <t>sem estrada até este talhão</t>
        </is>
      </c>
    </row>
    <row r="42">
      <c r="A42" s="4" t="inlineStr">
        <is>
          <t>T-31B</t>
        </is>
      </c>
      <c r="B42" s="5" t="n">
        <v>89.83</v>
      </c>
      <c r="C42" s="6" t="n">
        <v>4143</v>
      </c>
      <c r="D42" s="25" t="inlineStr">
        <is>
          <t>sem acesso</t>
        </is>
      </c>
      <c r="E42" s="25" t="inlineStr">
        <is>
          <t>sem acesso</t>
        </is>
      </c>
      <c r="F42" s="7" t="n">
        <v>3986</v>
      </c>
      <c r="G42" s="26" t="inlineStr">
        <is>
          <t>—</t>
        </is>
      </c>
      <c r="H42" s="26" t="inlineStr">
        <is>
          <t>—</t>
        </is>
      </c>
      <c r="I42" s="27" t="inlineStr">
        <is>
          <t>—</t>
        </is>
      </c>
      <c r="J42" s="28" t="inlineStr">
        <is>
          <t>sem estrada até este talhão</t>
        </is>
      </c>
    </row>
    <row r="43">
      <c r="A43" s="4" t="inlineStr">
        <is>
          <t>T-32</t>
        </is>
      </c>
      <c r="B43" s="5" t="n">
        <v>138.68</v>
      </c>
      <c r="C43" s="6" t="n">
        <v>5245</v>
      </c>
      <c r="D43" s="25" t="inlineStr">
        <is>
          <t>sem acesso</t>
        </is>
      </c>
      <c r="E43" s="25" t="inlineStr">
        <is>
          <t>sem acesso</t>
        </is>
      </c>
      <c r="F43" s="7" t="n">
        <v>4871</v>
      </c>
      <c r="G43" s="26" t="inlineStr">
        <is>
          <t>—</t>
        </is>
      </c>
      <c r="H43" s="26" t="inlineStr">
        <is>
          <t>—</t>
        </is>
      </c>
      <c r="I43" s="27" t="inlineStr">
        <is>
          <t>—</t>
        </is>
      </c>
      <c r="J43" s="28" t="inlineStr">
        <is>
          <t>sem estrada até este talhão</t>
        </is>
      </c>
    </row>
    <row r="44">
      <c r="A44" s="4" t="inlineStr">
        <is>
          <t>T-32A</t>
        </is>
      </c>
      <c r="B44" s="5" t="n">
        <v>83.98999999999999</v>
      </c>
      <c r="C44" s="6" t="n">
        <v>4543</v>
      </c>
      <c r="D44" s="25" t="inlineStr">
        <is>
          <t>sem acesso</t>
        </is>
      </c>
      <c r="E44" s="25" t="inlineStr">
        <is>
          <t>sem acesso</t>
        </is>
      </c>
      <c r="F44" s="7" t="n">
        <v>6182</v>
      </c>
      <c r="G44" s="26" t="inlineStr">
        <is>
          <t>—</t>
        </is>
      </c>
      <c r="H44" s="26" t="inlineStr">
        <is>
          <t>—</t>
        </is>
      </c>
      <c r="I44" s="27" t="inlineStr">
        <is>
          <t>—</t>
        </is>
      </c>
      <c r="J44" s="28" t="inlineStr">
        <is>
          <t>sem estrada até este talhão</t>
        </is>
      </c>
    </row>
    <row r="46">
      <c r="A46" s="29" t="inlineStr">
        <is>
          <t>TOTAL / MÁXIMO</t>
        </is>
      </c>
      <c r="B46" s="30">
        <f>SUM(B5:B44)</f>
        <v/>
      </c>
      <c r="D46" s="31">
        <f>MAX(IFERROR(D5:D44*1,0))</f>
        <v/>
      </c>
      <c r="G46" s="32">
        <f>IFERROR(MAX(G5:G44),"")</f>
        <v/>
      </c>
      <c r="I46" s="33">
        <f>IFERROR(AVERAGE(I5:I44),"")</f>
        <v/>
      </c>
    </row>
    <row r="47">
      <c r="A47" s="34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5" t="inlineStr">
        <is>
          <t>Como estes números foram calculados</t>
        </is>
      </c>
    </row>
    <row r="3" ht="30" customHeight="1">
      <c r="A3" s="36" t="inlineStr">
        <is>
          <t>Origem</t>
        </is>
      </c>
      <c r="B3" s="37" t="inlineStr">
        <is>
          <t>Ponto de sede do projeto do Google Earth (-13.894866, -57.09905).</t>
        </is>
      </c>
    </row>
    <row r="4" ht="30" customHeight="1">
      <c r="A4" s="36" t="inlineStr">
        <is>
          <t>Talhões</t>
        </is>
      </c>
      <c r="B4" s="37" t="inlineStr">
        <is>
          <t>40 polígonos da pasta FAZENDA PROMISSÃO.</t>
        </is>
      </c>
    </row>
    <row r="5" ht="30" customHeight="1">
      <c r="A5" s="36" t="inlineStr">
        <is>
          <t>Malha de estradas</t>
        </is>
      </c>
      <c r="B5" s="37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6" t="inlineStr">
        <is>
          <t>Dist. máxima</t>
        </is>
      </c>
      <c r="B6" s="37" t="inlineStr">
        <is>
          <t>Menor caminho pela estrada, da sede até o ponto MAIS EXTREMO do perímetro do talhão. Não corta por dentro da lavoura.</t>
        </is>
      </c>
    </row>
    <row r="7" ht="30" customHeight="1">
      <c r="A7" s="36" t="inlineStr">
        <is>
          <t>Dist. mínima</t>
        </is>
      </c>
      <c r="B7" s="37" t="inlineStr">
        <is>
          <t>Menor caminho pela estrada, da sede até o ponto de acesso mais próximo.</t>
        </is>
      </c>
    </row>
    <row r="8" ht="30" customHeight="1">
      <c r="A8" s="36" t="inlineStr">
        <is>
          <t>Linha reta</t>
        </is>
      </c>
      <c r="B8" s="37" t="inlineStr">
        <is>
          <t>Distância em linha reta da sede até a borda do talhão. Só referência.</t>
        </is>
      </c>
    </row>
    <row r="9" ht="30" customHeight="1">
      <c r="A9" s="36" t="inlineStr">
        <is>
          <t>Fator</t>
        </is>
      </c>
      <c r="B9" s="37" t="inlineStr">
        <is>
          <t>Dist. máxima ÷ linha reta. Fator alto = rota indireta, ou estrada faltando na malha.</t>
        </is>
      </c>
    </row>
    <row r="10" ht="30" customHeight="1">
      <c r="A10" s="36" t="inlineStr">
        <is>
          <t>Coordenadas</t>
        </is>
      </c>
      <c r="B10" s="37" t="inlineStr">
        <is>
          <t>SIRGAS 2000 / UTM 21S (EPSG:31981) para distâncias e áreas.</t>
        </is>
      </c>
    </row>
    <row r="11" ht="30" customHeight="1">
      <c r="A11" s="36" t="inlineStr">
        <is>
          <t>Resolução</t>
        </is>
      </c>
      <c r="B11" s="37" t="inlineStr">
        <is>
          <t>Malha densificada a cada 25 m — é a precisão do 'ponto mais extremo'.</t>
        </is>
      </c>
    </row>
    <row r="12" ht="30" customHeight="1">
      <c r="A12" s="36" t="inlineStr">
        <is>
          <t>Validação</t>
        </is>
      </c>
      <c r="B12" s="37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2026-09-14T13:59:41Z</dcterms:created>
  <dcterms:modified xmlns:dcterms="http://purl.org/dc/terms/" xmlns:xsi="http://www.w3.org/2001/XMLSchema-instance" xsi:type="dcterms:W3CDTF">2026-09-14T13:59:41Z</dcterms:modified>
</cp:coreProperties>
</file>