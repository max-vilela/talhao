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MATO GROSSO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T-04</t>
        </is>
      </c>
      <c r="B5" s="5" t="n">
        <v>69.11</v>
      </c>
      <c r="C5" s="6" t="n">
        <v>3352</v>
      </c>
      <c r="D5" s="7" t="n">
        <v>7956</v>
      </c>
      <c r="E5" s="7" t="n">
        <v>5867</v>
      </c>
      <c r="F5" s="7" t="n">
        <v>4020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T-08</t>
        </is>
      </c>
      <c r="B6" s="12" t="n">
        <v>94.59</v>
      </c>
      <c r="C6" s="13" t="n">
        <v>3957</v>
      </c>
      <c r="D6" s="14" t="n">
        <v>7607</v>
      </c>
      <c r="E6" s="14" t="n">
        <v>4984</v>
      </c>
      <c r="F6" s="14" t="n">
        <v>3696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T-03</t>
        </is>
      </c>
      <c r="B7" s="5" t="n">
        <v>124.45</v>
      </c>
      <c r="C7" s="6" t="n">
        <v>4845</v>
      </c>
      <c r="D7" s="7" t="n">
        <v>7030</v>
      </c>
      <c r="E7" s="7" t="n">
        <v>4345</v>
      </c>
      <c r="F7" s="7" t="n">
        <v>2795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P-26</t>
        </is>
      </c>
      <c r="B8" s="12" t="n">
        <v>38.37</v>
      </c>
      <c r="C8" s="13" t="n">
        <v>2500</v>
      </c>
      <c r="D8" s="14" t="n">
        <v>6899</v>
      </c>
      <c r="E8" s="14" t="n">
        <v>5972</v>
      </c>
      <c r="F8" s="14" t="n">
        <v>4243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T-12</t>
        </is>
      </c>
      <c r="B9" s="5" t="n">
        <v>123.95</v>
      </c>
      <c r="C9" s="6" t="n">
        <v>5309</v>
      </c>
      <c r="D9" s="7" t="n">
        <v>6841</v>
      </c>
      <c r="E9" s="7" t="n">
        <v>3836</v>
      </c>
      <c r="F9" s="7" t="n">
        <v>3547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T-17</t>
        </is>
      </c>
      <c r="B10" s="12" t="n">
        <v>106.47</v>
      </c>
      <c r="C10" s="13" t="n">
        <v>4634</v>
      </c>
      <c r="D10" s="14" t="n">
        <v>6548</v>
      </c>
      <c r="E10" s="14" t="n">
        <v>4609</v>
      </c>
      <c r="F10" s="14" t="n">
        <v>4379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T-01</t>
        </is>
      </c>
      <c r="B11" s="5" t="n">
        <v>151.93</v>
      </c>
      <c r="C11" s="6" t="n">
        <v>5346</v>
      </c>
      <c r="D11" s="7" t="n">
        <v>6268</v>
      </c>
      <c r="E11" s="7" t="n">
        <v>3709</v>
      </c>
      <c r="F11" s="7" t="n">
        <v>2898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T-02</t>
        </is>
      </c>
      <c r="B12" s="12" t="n">
        <v>99.23</v>
      </c>
      <c r="C12" s="13" t="n">
        <v>4809</v>
      </c>
      <c r="D12" s="14" t="n">
        <v>6210</v>
      </c>
      <c r="E12" s="14" t="n">
        <v>3404</v>
      </c>
      <c r="F12" s="14" t="n">
        <v>2842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T-07</t>
        </is>
      </c>
      <c r="B13" s="5" t="n">
        <v>133.59</v>
      </c>
      <c r="C13" s="6" t="n">
        <v>4784</v>
      </c>
      <c r="D13" s="7" t="n">
        <v>5978</v>
      </c>
      <c r="E13" s="7" t="n">
        <v>3445</v>
      </c>
      <c r="F13" s="7" t="n">
        <v>2279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T-16</t>
        </is>
      </c>
      <c r="B14" s="12" t="n">
        <v>151.26</v>
      </c>
      <c r="C14" s="13" t="n">
        <v>5633</v>
      </c>
      <c r="D14" s="14" t="n">
        <v>5469</v>
      </c>
      <c r="E14" s="14" t="n">
        <v>3838</v>
      </c>
      <c r="F14" s="14" t="n">
        <v>3546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18" t="inlineStr">
        <is>
          <t>T-06</t>
        </is>
      </c>
      <c r="B15" s="19" t="n">
        <v>180.3</v>
      </c>
      <c r="C15" s="20" t="n">
        <v>5857</v>
      </c>
      <c r="D15" s="21" t="n">
        <v>5285</v>
      </c>
      <c r="E15" s="21" t="n">
        <v>2041</v>
      </c>
      <c r="F15" s="21" t="n">
        <v>1530</v>
      </c>
      <c r="G15" s="22">
        <f>D15/1000</f>
        <v/>
      </c>
      <c r="H15" s="22">
        <f>E15/1000</f>
        <v/>
      </c>
      <c r="I15" s="23">
        <f>IFERROR(D15/F15,"")</f>
        <v/>
      </c>
      <c r="J15" s="24" t="inlineStr"/>
    </row>
    <row r="16">
      <c r="A16" s="11" t="inlineStr">
        <is>
          <t>T-21</t>
        </is>
      </c>
      <c r="B16" s="12" t="n">
        <v>75.97</v>
      </c>
      <c r="C16" s="13" t="n">
        <v>3658</v>
      </c>
      <c r="D16" s="14" t="n">
        <v>5099</v>
      </c>
      <c r="E16" s="14" t="n">
        <v>3233</v>
      </c>
      <c r="F16" s="14" t="n">
        <v>2908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T-11A</t>
        </is>
      </c>
      <c r="B17" s="5" t="n">
        <v>77.29000000000001</v>
      </c>
      <c r="C17" s="6" t="n">
        <v>4270</v>
      </c>
      <c r="D17" s="7" t="n">
        <v>4990</v>
      </c>
      <c r="E17" s="7" t="n">
        <v>3281</v>
      </c>
      <c r="F17" s="7" t="n">
        <v>2214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8" t="inlineStr">
        <is>
          <t>T-05</t>
        </is>
      </c>
      <c r="B18" s="19" t="n">
        <v>130.25</v>
      </c>
      <c r="C18" s="20" t="n">
        <v>8274</v>
      </c>
      <c r="D18" s="21" t="n">
        <v>4815</v>
      </c>
      <c r="E18" s="21" t="n">
        <v>2034</v>
      </c>
      <c r="F18" s="21" t="n">
        <v>1498</v>
      </c>
      <c r="G18" s="22">
        <f>D18/1000</f>
        <v/>
      </c>
      <c r="H18" s="22">
        <f>E18/1000</f>
        <v/>
      </c>
      <c r="I18" s="23">
        <f>IFERROR(D18/F18,"")</f>
        <v/>
      </c>
      <c r="J18" s="24" t="inlineStr"/>
    </row>
    <row r="19">
      <c r="A19" s="4" t="inlineStr">
        <is>
          <t>T-15</t>
        </is>
      </c>
      <c r="B19" s="5" t="n">
        <v>200.37</v>
      </c>
      <c r="C19" s="6" t="n">
        <v>5776</v>
      </c>
      <c r="D19" s="7" t="n">
        <v>4807</v>
      </c>
      <c r="E19" s="7" t="n">
        <v>2220</v>
      </c>
      <c r="F19" s="7" t="n">
        <v>2045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T-11</t>
        </is>
      </c>
      <c r="B20" s="12" t="n">
        <v>98.26000000000001</v>
      </c>
      <c r="C20" s="13" t="n">
        <v>4388</v>
      </c>
      <c r="D20" s="14" t="n">
        <v>4746</v>
      </c>
      <c r="E20" s="14" t="n">
        <v>2311</v>
      </c>
      <c r="F20" s="14" t="n">
        <v>2039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18" t="inlineStr">
        <is>
          <t>T-19</t>
        </is>
      </c>
      <c r="B21" s="19" t="n">
        <v>177.46</v>
      </c>
      <c r="C21" s="20" t="n">
        <v>5465</v>
      </c>
      <c r="D21" s="21" t="n">
        <v>4633</v>
      </c>
      <c r="E21" s="21" t="n">
        <v>1495</v>
      </c>
      <c r="F21" s="21" t="n">
        <v>969</v>
      </c>
      <c r="G21" s="22">
        <f>D21/1000</f>
        <v/>
      </c>
      <c r="H21" s="22">
        <f>E21/1000</f>
        <v/>
      </c>
      <c r="I21" s="23">
        <f>IFERROR(D21/F21,"")</f>
        <v/>
      </c>
      <c r="J21" s="24" t="inlineStr"/>
    </row>
    <row r="22">
      <c r="A22" s="11" t="inlineStr">
        <is>
          <t>T-21R</t>
        </is>
      </c>
      <c r="B22" s="12" t="n">
        <v>37.7</v>
      </c>
      <c r="C22" s="13" t="n">
        <v>2565</v>
      </c>
      <c r="D22" s="14" t="n">
        <v>4300</v>
      </c>
      <c r="E22" s="14" t="n">
        <v>3238</v>
      </c>
      <c r="F22" s="14" t="n">
        <v>2476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A-01</t>
        </is>
      </c>
      <c r="B23" s="5" t="n">
        <v>37.65</v>
      </c>
      <c r="C23" s="6" t="n">
        <v>2574</v>
      </c>
      <c r="D23" s="7" t="n">
        <v>4269</v>
      </c>
      <c r="E23" s="7" t="n">
        <v>2754</v>
      </c>
      <c r="F23" s="7" t="n">
        <v>2446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T-10A</t>
        </is>
      </c>
      <c r="B24" s="12" t="n">
        <v>25.3</v>
      </c>
      <c r="C24" s="13" t="n">
        <v>3448</v>
      </c>
      <c r="D24" s="14" t="n">
        <v>4012</v>
      </c>
      <c r="E24" s="14" t="n">
        <v>2046</v>
      </c>
      <c r="F24" s="14" t="n">
        <v>1527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18" t="inlineStr">
        <is>
          <t>T-20</t>
        </is>
      </c>
      <c r="B25" s="19" t="n">
        <v>135.58</v>
      </c>
      <c r="C25" s="20" t="n">
        <v>4844</v>
      </c>
      <c r="D25" s="21" t="n">
        <v>3918</v>
      </c>
      <c r="E25" s="21" t="n">
        <v>1505</v>
      </c>
      <c r="F25" s="21" t="n">
        <v>1228</v>
      </c>
      <c r="G25" s="22">
        <f>D25/1000</f>
        <v/>
      </c>
      <c r="H25" s="22">
        <f>E25/1000</f>
        <v/>
      </c>
      <c r="I25" s="23">
        <f>IFERROR(D25/F25,"")</f>
        <v/>
      </c>
      <c r="J25" s="24" t="inlineStr"/>
    </row>
    <row r="26">
      <c r="A26" s="18" t="inlineStr">
        <is>
          <t>T-10</t>
        </is>
      </c>
      <c r="B26" s="19" t="n">
        <v>156.94</v>
      </c>
      <c r="C26" s="20" t="n">
        <v>5252</v>
      </c>
      <c r="D26" s="21" t="n">
        <v>3781</v>
      </c>
      <c r="E26" s="21" t="n">
        <v>781</v>
      </c>
      <c r="F26" s="21" t="n">
        <v>567</v>
      </c>
      <c r="G26" s="22">
        <f>D26/1000</f>
        <v/>
      </c>
      <c r="H26" s="22">
        <f>E26/1000</f>
        <v/>
      </c>
      <c r="I26" s="23">
        <f>IFERROR(D26/F26,"")</f>
        <v/>
      </c>
      <c r="J26" s="24" t="inlineStr"/>
    </row>
    <row r="27">
      <c r="A27" s="18" t="inlineStr">
        <is>
          <t>P-02</t>
        </is>
      </c>
      <c r="B27" s="19" t="n">
        <v>78.38</v>
      </c>
      <c r="C27" s="20" t="n">
        <v>4052</v>
      </c>
      <c r="D27" s="21" t="n">
        <v>3296</v>
      </c>
      <c r="E27" s="21" t="n">
        <v>953</v>
      </c>
      <c r="F27" s="21" t="n">
        <v>767</v>
      </c>
      <c r="G27" s="22">
        <f>D27/1000</f>
        <v/>
      </c>
      <c r="H27" s="22">
        <f>E27/1000</f>
        <v/>
      </c>
      <c r="I27" s="23">
        <f>IFERROR(D27/F27,"")</f>
        <v/>
      </c>
      <c r="J27" s="24" t="inlineStr"/>
    </row>
    <row r="28">
      <c r="A28" s="18" t="inlineStr">
        <is>
          <t>T-09</t>
        </is>
      </c>
      <c r="B28" s="19" t="n">
        <v>182.48</v>
      </c>
      <c r="C28" s="20" t="n">
        <v>5481</v>
      </c>
      <c r="D28" s="21" t="n">
        <v>3009</v>
      </c>
      <c r="E28" s="21" t="n">
        <v>292</v>
      </c>
      <c r="F28" s="21" t="n">
        <v>291</v>
      </c>
      <c r="G28" s="22">
        <f>D28/1000</f>
        <v/>
      </c>
      <c r="H28" s="22">
        <f>E28/1000</f>
        <v/>
      </c>
      <c r="I28" s="23">
        <f>IFERROR(D28/F28,"")</f>
        <v/>
      </c>
      <c r="J28" s="24" t="inlineStr"/>
    </row>
    <row r="29">
      <c r="A29" s="18" t="inlineStr">
        <is>
          <t>T-14</t>
        </is>
      </c>
      <c r="B29" s="19" t="n">
        <v>103.71</v>
      </c>
      <c r="C29" s="20" t="n">
        <v>4418</v>
      </c>
      <c r="D29" s="21" t="n">
        <v>2729</v>
      </c>
      <c r="E29" s="21" t="n">
        <v>563</v>
      </c>
      <c r="F29" s="21" t="n">
        <v>546</v>
      </c>
      <c r="G29" s="22">
        <f>D29/1000</f>
        <v/>
      </c>
      <c r="H29" s="22">
        <f>E29/1000</f>
        <v/>
      </c>
      <c r="I29" s="23">
        <f>IFERROR(D29/F29,"")</f>
        <v/>
      </c>
      <c r="J29" s="24" t="inlineStr"/>
    </row>
    <row r="30">
      <c r="A30" s="18" t="inlineStr">
        <is>
          <t>T-18</t>
        </is>
      </c>
      <c r="B30" s="19" t="n">
        <v>72.67</v>
      </c>
      <c r="C30" s="20" t="n">
        <v>4022</v>
      </c>
      <c r="D30" s="21" t="n">
        <v>2647</v>
      </c>
      <c r="E30" s="21" t="n">
        <v>978</v>
      </c>
      <c r="F30" s="21" t="n">
        <v>473</v>
      </c>
      <c r="G30" s="22">
        <f>D30/1000</f>
        <v/>
      </c>
      <c r="H30" s="22">
        <f>E30/1000</f>
        <v/>
      </c>
      <c r="I30" s="23">
        <f>IFERROR(D30/F30,"")</f>
        <v/>
      </c>
      <c r="J30" s="24" t="inlineStr"/>
    </row>
    <row r="31">
      <c r="A31" s="18" t="inlineStr">
        <is>
          <t>R-08</t>
        </is>
      </c>
      <c r="B31" s="19" t="n">
        <v>53.1</v>
      </c>
      <c r="C31" s="20" t="n">
        <v>3752</v>
      </c>
      <c r="D31" s="21" t="n">
        <v>2322</v>
      </c>
      <c r="E31" s="21" t="n">
        <v>353</v>
      </c>
      <c r="F31" s="21" t="n">
        <v>121</v>
      </c>
      <c r="G31" s="22">
        <f>D31/1000</f>
        <v/>
      </c>
      <c r="H31" s="22">
        <f>E31/1000</f>
        <v/>
      </c>
      <c r="I31" s="23">
        <f>IFERROR(D31/F31,"")</f>
        <v/>
      </c>
      <c r="J31" s="24" t="inlineStr"/>
    </row>
    <row r="32">
      <c r="A32" s="18" t="inlineStr">
        <is>
          <t>T-13</t>
        </is>
      </c>
      <c r="B32" s="19" t="n">
        <v>42.11</v>
      </c>
      <c r="C32" s="20" t="n">
        <v>4288</v>
      </c>
      <c r="D32" s="21" t="n">
        <v>1496</v>
      </c>
      <c r="E32" s="21" t="n">
        <v>142</v>
      </c>
      <c r="F32" s="21" t="n">
        <v>142</v>
      </c>
      <c r="G32" s="22">
        <f>D32/1000</f>
        <v/>
      </c>
      <c r="H32" s="22">
        <f>E32/1000</f>
        <v/>
      </c>
      <c r="I32" s="23">
        <f>IFERROR(D32/F32,"")</f>
        <v/>
      </c>
      <c r="J32" s="24" t="inlineStr"/>
    </row>
    <row r="34">
      <c r="A34" s="25" t="inlineStr">
        <is>
          <t>TOTAL / MÁXIMO</t>
        </is>
      </c>
      <c r="B34" s="26">
        <f>SUM(B5:B32)</f>
        <v/>
      </c>
      <c r="D34" s="27">
        <f>MAX(IFERROR(D5:D32*1,0))</f>
        <v/>
      </c>
      <c r="G34" s="28">
        <f>IFERROR(MAX(G5:G32),"")</f>
        <v/>
      </c>
      <c r="I34" s="29">
        <f>IFERROR(AVERAGE(I5:I32),"")</f>
        <v/>
      </c>
    </row>
    <row r="35">
      <c r="A35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(-13.825901, -59.164748).</t>
        </is>
      </c>
    </row>
    <row r="4" ht="30" customHeight="1">
      <c r="A4" s="32" t="inlineStr">
        <is>
          <t>Talhões</t>
        </is>
      </c>
      <c r="B4" s="33" t="inlineStr">
        <is>
          <t>28 polígonos da pasta FAZENDA MATO GROSSO.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2026-09-15T16:35:34Z</dcterms:created>
  <dcterms:modified xmlns:dcterms="http://purl.org/dc/terms/" xmlns:xsi="http://www.w3.org/2001/XMLSchema-instance" xsi:type="dcterms:W3CDTF">2026-09-15T16:35:34Z</dcterms:modified>
</cp:coreProperties>
</file>