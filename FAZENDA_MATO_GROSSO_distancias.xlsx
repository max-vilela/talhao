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F4ACDF6C-0D4A-4E1E-8D8D-9AD4A6AC276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B34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34" i="1" l="1"/>
  <c r="G34" i="1"/>
</calcChain>
</file>

<file path=xl/sharedStrings.xml><?xml version="1.0" encoding="utf-8"?>
<sst xmlns="http://schemas.openxmlformats.org/spreadsheetml/2006/main" count="63" uniqueCount="63">
  <si>
    <t>FAZENDA MATO GROSSO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</si>
  <si>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</si>
  <si>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</si>
  <si>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</si>
  <si>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</si>
  <si>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</si>
  <si>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</si>
  <si>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</si>
  <si>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</si>
  <si>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</si>
  <si>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</si>
  <si>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</si>
  <si>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T-04</t>
  </si>
  <si>
    <t>T-02</t>
  </si>
  <si>
    <t>T-01</t>
  </si>
  <si>
    <t>P-26</t>
  </si>
  <si>
    <t>T-08</t>
  </si>
  <si>
    <t>T-17</t>
  </si>
  <si>
    <t>T-16</t>
  </si>
  <si>
    <t>T-07</t>
  </si>
  <si>
    <t>T-03</t>
  </si>
  <si>
    <t>T-12</t>
  </si>
  <si>
    <t>T-21</t>
  </si>
  <si>
    <t>T-06</t>
  </si>
  <si>
    <t>T-11A</t>
  </si>
  <si>
    <t>T-15</t>
  </si>
  <si>
    <t>T-21R</t>
  </si>
  <si>
    <t>A-01</t>
  </si>
  <si>
    <t>T-11</t>
  </si>
  <si>
    <t>T-19</t>
  </si>
  <si>
    <t>T-20</t>
  </si>
  <si>
    <t>T-05</t>
  </si>
  <si>
    <t>T-10A</t>
  </si>
  <si>
    <t>T-10</t>
  </si>
  <si>
    <t>T-14</t>
  </si>
  <si>
    <t>T-09</t>
  </si>
  <si>
    <t>P-02</t>
  </si>
  <si>
    <t>T-18</t>
  </si>
  <si>
    <t>T-13</t>
  </si>
  <si>
    <t>R-08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</si>
  <si>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</si>
  <si>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</si>
  <si>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</si>
  <si>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</si>
  <si>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(-13.825901, -59.164748).</t>
  </si>
  <si>
    <t>Talhões</t>
  </si>
  <si>
    <t>28 polígonos da pasta FAZENDA MATO GROSSO.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</si>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</sst>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69.11</v>
      </c>
      <c r="C5" s="6">
        <v>3352</v>
      </c>
      <c r="D5" s="7">
        <v>11739</v>
      </c>
      <c r="E5" s="7">
        <v>10911</v>
      </c>
      <c r="F5" s="7">
        <v>4020</v>
      </c>
      <c r="G5" s="8">
        <f t="shared" ref="G5:G32" si="0">D5/1000</f>
        <v>11.739000000000001</v>
      </c>
      <c r="H5" s="8">
        <f t="shared" ref="H5:H32" si="1">E5/1000</f>
        <v>10.911</v>
      </c>
      <c r="I5" s="9">
        <f t="shared" ref="I5:I32" si="2">IFERROR(D5/F5,"")</f>
        <v>2.9201492537313434</v>
      </c>
      <c r="J5" s="10"/>
    </row>
    <row r="6" spans="1:10" x14ac:dyDescent="0.3">
      <c r="A6" s="11" t="s">
        <v>13</v>
      </c>
      <c r="B6" s="12">
        <v>99.23</v>
      </c>
      <c r="C6" s="13">
        <v>4809</v>
      </c>
      <c r="D6" s="14">
        <v>9413</v>
      </c>
      <c r="E6" s="14">
        <v>7593</v>
      </c>
      <c r="F6" s="14">
        <v>2842</v>
      </c>
      <c r="G6" s="15">
        <f t="shared" si="0"/>
        <v>9.4130000000000003</v>
      </c>
      <c r="H6" s="15">
        <f t="shared" si="1"/>
        <v>7.593</v>
      </c>
      <c r="I6" s="16">
        <f t="shared" si="2"/>
        <v>3.31210415200563</v>
      </c>
      <c r="J6" s="17"/>
    </row>
    <row r="7" spans="1:10" x14ac:dyDescent="0.3">
      <c r="A7" s="4" t="s">
        <v>14</v>
      </c>
      <c r="B7" s="5">
        <v>151.93</v>
      </c>
      <c r="C7" s="6">
        <v>5346</v>
      </c>
      <c r="D7" s="7">
        <v>6737</v>
      </c>
      <c r="E7" s="7">
        <v>3879</v>
      </c>
      <c r="F7" s="7">
        <v>2898</v>
      </c>
      <c r="G7" s="8">
        <f t="shared" si="0"/>
        <v>6.7370000000000001</v>
      </c>
      <c r="H7" s="8">
        <f t="shared" si="1"/>
        <v>3.879</v>
      </c>
      <c r="I7" s="9">
        <f t="shared" si="2"/>
        <v>2.3247066942719115</v>
      </c>
      <c r="J7" s="10"/>
    </row>
    <row r="8" spans="1:10" x14ac:dyDescent="0.3">
      <c r="A8" s="18" t="s">
        <v>15</v>
      </c>
      <c r="B8" s="19">
        <v>38.369999999999997</v>
      </c>
      <c r="C8" s="20">
        <v>2500</v>
      </c>
      <c r="D8" s="21">
        <v>6552</v>
      </c>
      <c r="E8" s="21">
        <v>5899</v>
      </c>
      <c r="F8" s="21">
        <v>4243</v>
      </c>
      <c r="G8" s="22">
        <f t="shared" si="0"/>
        <v>6.5519999999999996</v>
      </c>
      <c r="H8" s="22">
        <f t="shared" si="1"/>
        <v>5.899</v>
      </c>
      <c r="I8" s="23">
        <f t="shared" si="2"/>
        <v>1.5441904312986094</v>
      </c>
      <c r="J8" s="24"/>
    </row>
    <row r="9" spans="1:10" x14ac:dyDescent="0.3">
      <c r="A9" s="4" t="s">
        <v>16</v>
      </c>
      <c r="B9" s="5">
        <v>94.59</v>
      </c>
      <c r="C9" s="6">
        <v>3957</v>
      </c>
      <c r="D9" s="7">
        <v>6552</v>
      </c>
      <c r="E9" s="7">
        <v>6024</v>
      </c>
      <c r="F9" s="7">
        <v>3696</v>
      </c>
      <c r="G9" s="8">
        <f t="shared" si="0"/>
        <v>6.5519999999999996</v>
      </c>
      <c r="H9" s="8">
        <f t="shared" si="1"/>
        <v>6.024</v>
      </c>
      <c r="I9" s="9">
        <f t="shared" si="2"/>
        <v>1.7727272727272727</v>
      </c>
      <c r="J9" s="10"/>
    </row>
    <row r="10" spans="1:10" x14ac:dyDescent="0.3">
      <c r="A10" s="18" t="s">
        <v>17</v>
      </c>
      <c r="B10" s="19">
        <v>106.47</v>
      </c>
      <c r="C10" s="20">
        <v>4634</v>
      </c>
      <c r="D10" s="21">
        <v>6209</v>
      </c>
      <c r="E10" s="21">
        <v>4653</v>
      </c>
      <c r="F10" s="21">
        <v>4379</v>
      </c>
      <c r="G10" s="22">
        <f t="shared" si="0"/>
        <v>6.2089999999999996</v>
      </c>
      <c r="H10" s="22">
        <f t="shared" si="1"/>
        <v>4.6529999999999996</v>
      </c>
      <c r="I10" s="23">
        <f t="shared" si="2"/>
        <v>1.417903630965974</v>
      </c>
      <c r="J10" s="24"/>
    </row>
    <row r="11" spans="1:10" x14ac:dyDescent="0.3">
      <c r="A11" s="4" t="s">
        <v>18</v>
      </c>
      <c r="B11" s="5">
        <v>151.26</v>
      </c>
      <c r="C11" s="6">
        <v>5633</v>
      </c>
      <c r="D11" s="7">
        <v>6186</v>
      </c>
      <c r="E11" s="7">
        <v>3800</v>
      </c>
      <c r="F11" s="7">
        <v>3546</v>
      </c>
      <c r="G11" s="8">
        <f t="shared" si="0"/>
        <v>6.1859999999999999</v>
      </c>
      <c r="H11" s="8">
        <f t="shared" si="1"/>
        <v>3.8</v>
      </c>
      <c r="I11" s="9">
        <f t="shared" si="2"/>
        <v>1.7445008460236886</v>
      </c>
      <c r="J11" s="10"/>
    </row>
    <row r="12" spans="1:10" x14ac:dyDescent="0.3">
      <c r="A12" s="18" t="s">
        <v>19</v>
      </c>
      <c r="B12" s="19">
        <v>133.59</v>
      </c>
      <c r="C12" s="20">
        <v>4784</v>
      </c>
      <c r="D12" s="21">
        <v>5885</v>
      </c>
      <c r="E12" s="21">
        <v>3420</v>
      </c>
      <c r="F12" s="21">
        <v>2279</v>
      </c>
      <c r="G12" s="22">
        <f t="shared" si="0"/>
        <v>5.8849999999999998</v>
      </c>
      <c r="H12" s="22">
        <f t="shared" si="1"/>
        <v>3.42</v>
      </c>
      <c r="I12" s="23">
        <f t="shared" si="2"/>
        <v>2.5822729267222466</v>
      </c>
      <c r="J12" s="24"/>
    </row>
    <row r="13" spans="1:10" x14ac:dyDescent="0.3">
      <c r="A13" s="4" t="s">
        <v>20</v>
      </c>
      <c r="B13" s="5">
        <v>124.45</v>
      </c>
      <c r="C13" s="6">
        <v>4845</v>
      </c>
      <c r="D13" s="7">
        <v>5861</v>
      </c>
      <c r="E13" s="7">
        <v>4357</v>
      </c>
      <c r="F13" s="7">
        <v>2795</v>
      </c>
      <c r="G13" s="8">
        <f t="shared" si="0"/>
        <v>5.8609999999999998</v>
      </c>
      <c r="H13" s="8">
        <f t="shared" si="1"/>
        <v>4.3570000000000002</v>
      </c>
      <c r="I13" s="9">
        <f t="shared" si="2"/>
        <v>2.0969588550983902</v>
      </c>
      <c r="J13" s="10"/>
    </row>
    <row r="14" spans="1:10" x14ac:dyDescent="0.3">
      <c r="A14" s="18" t="s">
        <v>21</v>
      </c>
      <c r="B14" s="19">
        <v>123.95</v>
      </c>
      <c r="C14" s="20">
        <v>5309</v>
      </c>
      <c r="D14" s="21">
        <v>5404</v>
      </c>
      <c r="E14" s="21">
        <v>3800</v>
      </c>
      <c r="F14" s="21">
        <v>3547</v>
      </c>
      <c r="G14" s="22">
        <f t="shared" si="0"/>
        <v>5.4039999999999999</v>
      </c>
      <c r="H14" s="22">
        <f t="shared" si="1"/>
        <v>3.8</v>
      </c>
      <c r="I14" s="23">
        <f t="shared" si="2"/>
        <v>1.5235410205807725</v>
      </c>
      <c r="J14" s="24"/>
    </row>
    <row r="15" spans="1:10" x14ac:dyDescent="0.3">
      <c r="A15" s="4" t="s">
        <v>22</v>
      </c>
      <c r="B15" s="5">
        <v>75.97</v>
      </c>
      <c r="C15" s="6">
        <v>3658</v>
      </c>
      <c r="D15" s="7">
        <v>5336</v>
      </c>
      <c r="E15" s="7">
        <v>3504</v>
      </c>
      <c r="F15" s="7">
        <v>2908</v>
      </c>
      <c r="G15" s="8">
        <f t="shared" si="0"/>
        <v>5.3360000000000003</v>
      </c>
      <c r="H15" s="8">
        <f t="shared" si="1"/>
        <v>3.504</v>
      </c>
      <c r="I15" s="9">
        <f t="shared" si="2"/>
        <v>1.8349381017881705</v>
      </c>
      <c r="J15" s="10"/>
    </row>
    <row r="16" spans="1:10" x14ac:dyDescent="0.3">
      <c r="A16" s="11" t="s">
        <v>23</v>
      </c>
      <c r="B16" s="12">
        <v>180.3</v>
      </c>
      <c r="C16" s="13">
        <v>5857</v>
      </c>
      <c r="D16" s="14">
        <v>5161</v>
      </c>
      <c r="E16" s="14">
        <v>2003</v>
      </c>
      <c r="F16" s="14">
        <v>1530</v>
      </c>
      <c r="G16" s="15">
        <f t="shared" si="0"/>
        <v>5.1609999999999996</v>
      </c>
      <c r="H16" s="15">
        <f t="shared" si="1"/>
        <v>2.0030000000000001</v>
      </c>
      <c r="I16" s="16">
        <f t="shared" si="2"/>
        <v>3.373202614379085</v>
      </c>
      <c r="J16" s="17"/>
    </row>
    <row r="17" spans="1:10" x14ac:dyDescent="0.3">
      <c r="A17" s="4" t="s">
        <v>24</v>
      </c>
      <c r="B17" s="5">
        <v>77.290000000000006</v>
      </c>
      <c r="C17" s="6">
        <v>4270</v>
      </c>
      <c r="D17" s="7">
        <v>4990</v>
      </c>
      <c r="E17" s="7">
        <v>3238</v>
      </c>
      <c r="F17" s="7">
        <v>2214</v>
      </c>
      <c r="G17" s="8">
        <f t="shared" si="0"/>
        <v>4.99</v>
      </c>
      <c r="H17" s="8">
        <f t="shared" si="1"/>
        <v>3.238</v>
      </c>
      <c r="I17" s="9">
        <f t="shared" si="2"/>
        <v>2.2538392050587173</v>
      </c>
      <c r="J17" s="10"/>
    </row>
    <row r="18" spans="1:10" x14ac:dyDescent="0.3">
      <c r="A18" s="18" t="s">
        <v>25</v>
      </c>
      <c r="B18" s="19">
        <v>200.37</v>
      </c>
      <c r="C18" s="20">
        <v>5776</v>
      </c>
      <c r="D18" s="21">
        <v>4942</v>
      </c>
      <c r="E18" s="21">
        <v>2286</v>
      </c>
      <c r="F18" s="21">
        <v>2045</v>
      </c>
      <c r="G18" s="22">
        <f t="shared" si="0"/>
        <v>4.9420000000000002</v>
      </c>
      <c r="H18" s="22">
        <f t="shared" si="1"/>
        <v>2.286</v>
      </c>
      <c r="I18" s="23">
        <f t="shared" si="2"/>
        <v>2.4166259168704158</v>
      </c>
      <c r="J18" s="24"/>
    </row>
    <row r="19" spans="1:10" x14ac:dyDescent="0.3">
      <c r="A19" s="4" t="s">
        <v>26</v>
      </c>
      <c r="B19" s="5">
        <v>37.700000000000003</v>
      </c>
      <c r="C19" s="6">
        <v>2565</v>
      </c>
      <c r="D19" s="7">
        <v>4375</v>
      </c>
      <c r="E19" s="7">
        <v>3053</v>
      </c>
      <c r="F19" s="7">
        <v>2476</v>
      </c>
      <c r="G19" s="8">
        <f t="shared" si="0"/>
        <v>4.375</v>
      </c>
      <c r="H19" s="8">
        <f t="shared" si="1"/>
        <v>3.0529999999999999</v>
      </c>
      <c r="I19" s="9">
        <f t="shared" si="2"/>
        <v>1.7669628432956381</v>
      </c>
      <c r="J19" s="10"/>
    </row>
    <row r="20" spans="1:10" x14ac:dyDescent="0.3">
      <c r="A20" s="18" t="s">
        <v>27</v>
      </c>
      <c r="B20" s="19">
        <v>37.65</v>
      </c>
      <c r="C20" s="20">
        <v>2574</v>
      </c>
      <c r="D20" s="21">
        <v>4332</v>
      </c>
      <c r="E20" s="21">
        <v>3027</v>
      </c>
      <c r="F20" s="21">
        <v>2446</v>
      </c>
      <c r="G20" s="22">
        <f t="shared" si="0"/>
        <v>4.3319999999999999</v>
      </c>
      <c r="H20" s="22">
        <f t="shared" si="1"/>
        <v>3.0270000000000001</v>
      </c>
      <c r="I20" s="23">
        <f t="shared" si="2"/>
        <v>1.7710547833197057</v>
      </c>
      <c r="J20" s="24"/>
    </row>
    <row r="21" spans="1:10" x14ac:dyDescent="0.3">
      <c r="A21" s="4" t="s">
        <v>28</v>
      </c>
      <c r="B21" s="5">
        <v>98.26</v>
      </c>
      <c r="C21" s="6">
        <v>4388</v>
      </c>
      <c r="D21" s="7">
        <v>4108</v>
      </c>
      <c r="E21" s="7">
        <v>2286</v>
      </c>
      <c r="F21" s="7">
        <v>2039</v>
      </c>
      <c r="G21" s="8">
        <f t="shared" si="0"/>
        <v>4.1079999999999997</v>
      </c>
      <c r="H21" s="8">
        <f t="shared" si="1"/>
        <v>2.286</v>
      </c>
      <c r="I21" s="9">
        <f t="shared" si="2"/>
        <v>2.0147130946542422</v>
      </c>
      <c r="J21" s="10"/>
    </row>
    <row r="22" spans="1:10" x14ac:dyDescent="0.3">
      <c r="A22" s="11" t="s">
        <v>29</v>
      </c>
      <c r="B22" s="12">
        <v>177.46</v>
      </c>
      <c r="C22" s="13">
        <v>5465</v>
      </c>
      <c r="D22" s="14">
        <v>4063</v>
      </c>
      <c r="E22" s="14">
        <v>1523</v>
      </c>
      <c r="F22" s="14">
        <v>969</v>
      </c>
      <c r="G22" s="15">
        <f t="shared" si="0"/>
        <v>4.0629999999999997</v>
      </c>
      <c r="H22" s="15">
        <f t="shared" si="1"/>
        <v>1.5229999999999999</v>
      </c>
      <c r="I22" s="16">
        <f t="shared" si="2"/>
        <v>4.192982456140351</v>
      </c>
      <c r="J22" s="17"/>
    </row>
    <row r="23" spans="1:10" x14ac:dyDescent="0.3">
      <c r="A23" s="11" t="s">
        <v>30</v>
      </c>
      <c r="B23" s="12">
        <v>135.58000000000001</v>
      </c>
      <c r="C23" s="13">
        <v>4844</v>
      </c>
      <c r="D23" s="14">
        <v>3981</v>
      </c>
      <c r="E23" s="14">
        <v>1523</v>
      </c>
      <c r="F23" s="14">
        <v>1228</v>
      </c>
      <c r="G23" s="15">
        <f t="shared" si="0"/>
        <v>3.9809999999999999</v>
      </c>
      <c r="H23" s="15">
        <f t="shared" si="1"/>
        <v>1.5229999999999999</v>
      </c>
      <c r="I23" s="16">
        <f t="shared" si="2"/>
        <v>3.2418566775244302</v>
      </c>
      <c r="J23" s="17"/>
    </row>
    <row r="24" spans="1:10" x14ac:dyDescent="0.3">
      <c r="A24" s="18" t="s">
        <v>31</v>
      </c>
      <c r="B24" s="19">
        <v>130.25</v>
      </c>
      <c r="C24" s="20">
        <v>8274</v>
      </c>
      <c r="D24" s="21">
        <v>3929</v>
      </c>
      <c r="E24" s="21">
        <v>2504</v>
      </c>
      <c r="F24" s="21">
        <v>1498</v>
      </c>
      <c r="G24" s="22">
        <f t="shared" si="0"/>
        <v>3.9289999999999998</v>
      </c>
      <c r="H24" s="22">
        <f t="shared" si="1"/>
        <v>2.504</v>
      </c>
      <c r="I24" s="23">
        <f t="shared" si="2"/>
        <v>2.6228304405874501</v>
      </c>
      <c r="J24" s="24"/>
    </row>
    <row r="25" spans="1:10" x14ac:dyDescent="0.3">
      <c r="A25" s="4" t="s">
        <v>32</v>
      </c>
      <c r="B25" s="5">
        <v>25.3</v>
      </c>
      <c r="C25" s="6">
        <v>3448</v>
      </c>
      <c r="D25" s="7">
        <v>3596</v>
      </c>
      <c r="E25" s="7">
        <v>3186</v>
      </c>
      <c r="F25" s="7">
        <v>1527</v>
      </c>
      <c r="G25" s="8">
        <f t="shared" si="0"/>
        <v>3.5960000000000001</v>
      </c>
      <c r="H25" s="8">
        <f t="shared" si="1"/>
        <v>3.1859999999999999</v>
      </c>
      <c r="I25" s="9">
        <f t="shared" si="2"/>
        <v>2.35494433529797</v>
      </c>
      <c r="J25" s="10"/>
    </row>
    <row r="26" spans="1:10" x14ac:dyDescent="0.3">
      <c r="A26" s="11" t="s">
        <v>33</v>
      </c>
      <c r="B26" s="12">
        <v>156.94</v>
      </c>
      <c r="C26" s="13">
        <v>5252</v>
      </c>
      <c r="D26" s="14">
        <v>3238</v>
      </c>
      <c r="E26" s="14">
        <v>760</v>
      </c>
      <c r="F26" s="14">
        <v>567</v>
      </c>
      <c r="G26" s="15">
        <f t="shared" si="0"/>
        <v>3.238</v>
      </c>
      <c r="H26" s="15">
        <f t="shared" si="1"/>
        <v>0.76</v>
      </c>
      <c r="I26" s="16">
        <f t="shared" si="2"/>
        <v>5.7107583774250443</v>
      </c>
      <c r="J26" s="17"/>
    </row>
    <row r="27" spans="1:10" x14ac:dyDescent="0.3">
      <c r="A27" s="11" t="s">
        <v>34</v>
      </c>
      <c r="B27" s="12">
        <v>103.71</v>
      </c>
      <c r="C27" s="13">
        <v>4418</v>
      </c>
      <c r="D27" s="14">
        <v>2865</v>
      </c>
      <c r="E27" s="14">
        <v>547</v>
      </c>
      <c r="F27" s="14">
        <v>546</v>
      </c>
      <c r="G27" s="15">
        <f t="shared" si="0"/>
        <v>2.8650000000000002</v>
      </c>
      <c r="H27" s="15">
        <f t="shared" si="1"/>
        <v>0.54700000000000004</v>
      </c>
      <c r="I27" s="16">
        <f t="shared" si="2"/>
        <v>5.2472527472527473</v>
      </c>
      <c r="J27" s="17"/>
    </row>
    <row r="28" spans="1:10" x14ac:dyDescent="0.3">
      <c r="A28" s="11" t="s">
        <v>35</v>
      </c>
      <c r="B28" s="12">
        <v>182.48</v>
      </c>
      <c r="C28" s="13">
        <v>5481</v>
      </c>
      <c r="D28" s="14">
        <v>2553</v>
      </c>
      <c r="E28" s="14">
        <v>254</v>
      </c>
      <c r="F28" s="14">
        <v>291</v>
      </c>
      <c r="G28" s="15">
        <f t="shared" si="0"/>
        <v>2.5529999999999999</v>
      </c>
      <c r="H28" s="15">
        <f t="shared" si="1"/>
        <v>0.254</v>
      </c>
      <c r="I28" s="16">
        <f t="shared" si="2"/>
        <v>8.7731958762886606</v>
      </c>
      <c r="J28" s="17"/>
    </row>
    <row r="29" spans="1:10" x14ac:dyDescent="0.3">
      <c r="A29" s="4" t="s">
        <v>36</v>
      </c>
      <c r="B29" s="5">
        <v>78.38</v>
      </c>
      <c r="C29" s="6">
        <v>4052</v>
      </c>
      <c r="D29" s="7">
        <v>1552</v>
      </c>
      <c r="E29" s="7">
        <v>962</v>
      </c>
      <c r="F29" s="7">
        <v>767</v>
      </c>
      <c r="G29" s="8">
        <f t="shared" si="0"/>
        <v>1.552</v>
      </c>
      <c r="H29" s="8">
        <f t="shared" si="1"/>
        <v>0.96199999999999997</v>
      </c>
      <c r="I29" s="9">
        <f t="shared" si="2"/>
        <v>2.0234680573663626</v>
      </c>
      <c r="J29" s="10"/>
    </row>
    <row r="30" spans="1:10" x14ac:dyDescent="0.3">
      <c r="A30" s="11" t="s">
        <v>37</v>
      </c>
      <c r="B30" s="12">
        <v>72.67</v>
      </c>
      <c r="C30" s="13">
        <v>4022</v>
      </c>
      <c r="D30" s="14">
        <v>1552</v>
      </c>
      <c r="E30" s="14">
        <v>989</v>
      </c>
      <c r="F30" s="14">
        <v>473</v>
      </c>
      <c r="G30" s="15">
        <f t="shared" si="0"/>
        <v>1.552</v>
      </c>
      <c r="H30" s="15">
        <f t="shared" si="1"/>
        <v>0.98899999999999999</v>
      </c>
      <c r="I30" s="16">
        <f t="shared" si="2"/>
        <v>3.2811839323467229</v>
      </c>
      <c r="J30" s="17"/>
    </row>
    <row r="31" spans="1:10" x14ac:dyDescent="0.3">
      <c r="A31" s="11" t="s">
        <v>38</v>
      </c>
      <c r="B31" s="12">
        <v>42.11</v>
      </c>
      <c r="C31" s="13">
        <v>4288</v>
      </c>
      <c r="D31" s="14">
        <v>1265</v>
      </c>
      <c r="E31" s="14">
        <v>228</v>
      </c>
      <c r="F31" s="14">
        <v>142</v>
      </c>
      <c r="G31" s="15">
        <f t="shared" si="0"/>
        <v>1.2649999999999999</v>
      </c>
      <c r="H31" s="15">
        <f t="shared" si="1"/>
        <v>0.22800000000000001</v>
      </c>
      <c r="I31" s="16">
        <f t="shared" si="2"/>
        <v>8.908450704225352</v>
      </c>
      <c r="J31" s="17"/>
    </row>
    <row r="32" spans="1:10" x14ac:dyDescent="0.3">
      <c r="A32" s="11" t="s">
        <v>39</v>
      </c>
      <c r="B32" s="12">
        <v>53.1</v>
      </c>
      <c r="C32" s="13">
        <v>3752</v>
      </c>
      <c r="D32" s="14">
        <v>1089</v>
      </c>
      <c r="E32" s="14">
        <v>118</v>
      </c>
      <c r="F32" s="14">
        <v>121</v>
      </c>
      <c r="G32" s="15">
        <f t="shared" si="0"/>
        <v>1.089</v>
      </c>
      <c r="H32" s="15">
        <f t="shared" si="1"/>
        <v>0.11799999999999999</v>
      </c>
      <c r="I32" s="16">
        <f t="shared" si="2"/>
        <v>9</v>
      </c>
      <c r="J32" s="17"/>
    </row>
    <row r="34" spans="1:9" x14ac:dyDescent="0.3">
      <c r="A34" s="25" t="s">
        <v>40</v>
      </c>
      <c r="B34" s="26">
        <f>SUM(B5:B32)</f>
        <v>2958.4700000000007</v>
      </c>
      <c r="D34" s="27">
        <f>MAX(D5:D32)</f>
        <v>11739</v>
      </c>
      <c r="G34" s="28">
        <f>IFERROR(MAX(G5:G32),"")</f>
        <v>11.739000000000001</v>
      </c>
      <c r="I34" s="29">
        <f>IFERROR(AVERAGE(I5:I32),"")</f>
        <v>3.2866898302588177</v>
      </c>
    </row>
    <row r="35" spans="1:9" x14ac:dyDescent="0.3">
      <c r="A35" s="30" t="s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42</v>
      </c>
    </row>
    <row r="3" spans="1:2" ht="30" customHeight="1" x14ac:dyDescent="0.3">
      <c r="A3" s="32" t="s">
        <v>43</v>
      </c>
      <c r="B3" s="33" t="s">
        <v>44</v>
      </c>
    </row>
    <row r="4" spans="1:2" ht="30" customHeight="1" x14ac:dyDescent="0.3">
      <c r="A4" s="32" t="s">
        <v>45</v>
      </c>
      <c r="B4" s="33" t="s">
        <v>46</v>
      </c>
    </row>
    <row r="5" spans="1:2" ht="30" customHeight="1" x14ac:dyDescent="0.3">
      <c r="A5" s="32" t="s">
        <v>47</v>
      </c>
      <c r="B5" s="33" t="s">
        <v>48</v>
      </c>
    </row>
    <row r="6" spans="1:2" ht="30" customHeight="1" x14ac:dyDescent="0.3">
      <c r="A6" s="32" t="s">
        <v>49</v>
      </c>
      <c r="B6" s="33" t="s">
        <v>50</v>
      </c>
    </row>
    <row r="7" spans="1:2" ht="30" customHeight="1" x14ac:dyDescent="0.3">
      <c r="A7" s="32" t="s">
        <v>51</v>
      </c>
      <c r="B7" s="33" t="s">
        <v>52</v>
      </c>
    </row>
    <row r="8" spans="1:2" ht="30" customHeight="1" x14ac:dyDescent="0.3">
      <c r="A8" s="32" t="s">
        <v>53</v>
      </c>
      <c r="B8" s="33" t="s">
        <v>54</v>
      </c>
    </row>
    <row r="9" spans="1:2" ht="30" customHeight="1" x14ac:dyDescent="0.3">
      <c r="A9" s="32" t="s">
        <v>55</v>
      </c>
      <c r="B9" s="33" t="s">
        <v>56</v>
      </c>
    </row>
    <row r="10" spans="1:2" ht="30" customHeight="1" x14ac:dyDescent="0.3">
      <c r="A10" s="32" t="s">
        <v>57</v>
      </c>
      <c r="B10" s="33" t="s">
        <v>58</v>
      </c>
    </row>
    <row r="11" spans="1:2" ht="30" customHeight="1" x14ac:dyDescent="0.3">
      <c r="A11" s="32" t="s">
        <v>59</v>
      </c>
      <c r="B11" s="33" t="s">
        <v>60</v>
      </c>
    </row>
    <row r="12" spans="1:2" ht="30" customHeight="1" x14ac:dyDescent="0.3">
      <c r="A12" s="32" t="s">
        <v>61</v>
      </c>
      <c r="B12" s="33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2026-09-16T13:16:01Z</dcterms:created>
  <dcterms:modified xsi:type="dcterms:W3CDTF">2026-09-16T13:16:43Z</dcterms:modified>
</cp:coreProperties>
</file>